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quipos" sheetId="2" state="visible" r:id="rId2"/>
    <sheet xmlns:r="http://schemas.openxmlformats.org/officeDocument/2006/relationships" name="Grupos" sheetId="3" state="visible" r:id="rId3"/>
    <sheet xmlns:r="http://schemas.openxmlformats.org/officeDocument/2006/relationships" name="Tabla Grupos" sheetId="4" state="visible" r:id="rId4"/>
    <sheet xmlns:r="http://schemas.openxmlformats.org/officeDocument/2006/relationships" name="Bracket" sheetId="5" state="visible" r:id="rId5"/>
    <sheet xmlns:r="http://schemas.openxmlformats.org/officeDocument/2006/relationships" name="Goleador" sheetId="6" state="visible" r:id="rId6"/>
    <sheet xmlns:r="http://schemas.openxmlformats.org/officeDocument/2006/relationships" name="Resumen Puntaj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2F6B4D"/>
      <sz val="16"/>
    </font>
    <font>
      <color rgb="0017231A"/>
      <sz val="10"/>
    </font>
    <font>
      <b val="1"/>
      <color rgb="002F6B4D"/>
      <sz val="12"/>
    </font>
    <font>
      <b val="1"/>
      <color rgb="002F6B4D"/>
      <sz val="11"/>
    </font>
    <font>
      <b val="1"/>
      <color rgb="00FFFFFF"/>
      <sz val="10"/>
    </font>
    <font>
      <b val="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2F6B4D"/>
      </patternFill>
    </fill>
    <fill>
      <patternFill patternType="solid">
        <fgColor rgb="00FFFCE8"/>
      </patternFill>
    </fill>
    <fill>
      <patternFill patternType="solid">
        <fgColor rgb="00F4F6F0"/>
      </patternFill>
    </fill>
    <fill>
      <patternFill patternType="solid">
        <fgColor rgb="00FBF1DE"/>
      </patternFill>
    </fill>
    <fill>
      <patternFill patternType="solid">
        <fgColor rgb="00EEF2EA"/>
      </patternFill>
    </fill>
  </fills>
  <borders count="2">
    <border>
      <left/>
      <right/>
      <top/>
      <bottom/>
      <diagonal/>
    </border>
    <border>
      <left style="thin">
        <color rgb="00CCD4C3"/>
      </left>
      <right style="thin">
        <color rgb="00CCD4C3"/>
      </right>
      <top style="thin">
        <color rgb="00CCD4C3"/>
      </top>
      <bottom style="thin">
        <color rgb="00CCD4C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6" fillId="5" borderId="0" pivotButton="0" quotePrefix="0" xfId="0"/>
    <xf numFmtId="0" fontId="4" fillId="6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0" fillId="4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Polla Mundial 2026 — Formato manual en Excel</t>
        </is>
      </c>
    </row>
    <row r="2">
      <c r="A2" s="2" t="inlineStr"/>
    </row>
    <row r="3">
      <c r="A3" s="3" t="inlineStr">
        <is>
          <t>Como usar este archivo:</t>
        </is>
      </c>
    </row>
    <row r="4">
      <c r="A4" s="2" t="inlineStr">
        <is>
          <t>1. Hoja "Grupos": una persona (el participante) llena las columnas "Pron. Local" y "Pron. Visitante" con su pronostico de marcador para cada uno de los 72 partidos. Otra persona (el administrador) llena "Real Local" y "Real Visitante" a medida que se juegan los partidos reales.</t>
        </is>
      </c>
    </row>
    <row r="5">
      <c r="A5" s="2" t="inlineStr">
        <is>
          <t>2. Hoja "Tabla Grupos": se calcula sola (no se toca) — arma la tabla de posiciones de cada grupo, tanto real como segun el pronostico, y compara quien clasifico a Dieciseisavos (32 equipos).</t>
        </is>
      </c>
    </row>
    <row r="6">
      <c r="A6" s="2" t="inlineStr">
        <is>
          <t>3. Hoja "Bracket": para cada llave (32avos a Final), el participante escribe manualmente que 2 equipos cree que se enfrentan y quien gana; el administrador llena los equipos y el ganador real. Los puntos de equipo clasificado y de llave acertada se calculan solos.</t>
        </is>
      </c>
    </row>
    <row r="7">
      <c r="A7" s="2" t="inlineStr">
        <is>
          <t>4. Hoja "Goleador": el participante escribe 1 nombre; el administrador escribe hasta 3 nombres reales (estos son los "maximos goleadores" oficiales del torneo).</t>
        </is>
      </c>
    </row>
    <row r="8">
      <c r="A8" s="2" t="inlineStr">
        <is>
          <t>5. Hoja "Resumen Puntaje": muestra el total, fase por fase, calculado automaticamente. No se toca.</t>
        </is>
      </c>
    </row>
    <row r="9">
      <c r="A9" s="2" t="inlineStr"/>
    </row>
    <row r="10">
      <c r="A10" s="4" t="inlineStr">
        <is>
          <t>IMPORTANTE — simplificaciones de esta version (frente al motor real de la app):</t>
        </is>
      </c>
    </row>
    <row r="11">
      <c r="A11" s="2" t="inlineStr">
        <is>
          <t>- El desempate de la tabla de grupos usa Puntos -&gt; Diferencia de gol -&gt; Goles a favor. NO incluye el mini-cuadrangular de enfrentamientos directos (head-to-head) que usa la FIFA cuando 2+ equipos quedan exactamente empatados en esos 3 criterios. En ese caso, el desempate aqui es arbitrario (por el orden en que aparecen los equipos).</t>
        </is>
      </c>
    </row>
    <row r="12">
      <c r="A12" s="2" t="inlineStr">
        <is>
          <t>- El bracket NO se arma solo a partir de tus pronosticos de grupo: cada ronda se llena a mano, incluyendo que equipos crees que se enfrentan.</t>
        </is>
      </c>
    </row>
    <row r="13">
      <c r="A13" s="2" t="inlineStr">
        <is>
          <t>- Las llaves se comparan por posicion (la llave #5 real contra la llave #5 pronosticada), no por "si esa pareja de equipos ocurrio en cualquier posicion de la ronda" como hace la app.</t>
        </is>
      </c>
    </row>
    <row r="14">
      <c r="A14" s="2" t="inlineStr">
        <is>
          <t>- El nombre del goleador se compara sin distinguir mayusculas/minusculas ni espacios extra, pero SI debe ser el mismo nombre (ej: "Mbappe" y "Kylian Mbappe" cuentan distinto salvo que escribas exactamente igual en ambos lados).</t>
        </is>
      </c>
    </row>
    <row r="15">
      <c r="A15" s="2" t="inlineStr"/>
    </row>
    <row r="16">
      <c r="A16" s="4" t="inlineStr">
        <is>
          <t>Puntajes usados (iguales a los de la app):</t>
        </is>
      </c>
    </row>
    <row r="17">
      <c r="A17" s="2" t="inlineStr">
        <is>
          <t>Grupos: marcador exacto 3 pts | resultado correcto 1 pt | posicion exacta en tabla 1 pt/puesto | clasificado a 32avos 2 pts/equipo</t>
        </is>
      </c>
    </row>
    <row r="18">
      <c r="A18" s="2" t="inlineStr">
        <is>
          <t>Bracket — equipo clasificado: Octavos 2 pts | Cuartos 4 pts | Semifinal 4 pts | Final/3er puesto 8 pts</t>
        </is>
      </c>
    </row>
    <row r="19">
      <c r="A19" s="2" t="inlineStr">
        <is>
          <t>Bracket — llave acertada: 32avos 3 pts | Octavos 4 pts | Cuartos 8 pts | Semifinal 8 pts | 3er puesto 8 pts | Final 12 pts</t>
        </is>
      </c>
    </row>
    <row r="20">
      <c r="A20" s="2" t="inlineStr">
        <is>
          <t>Bonus: Campeon 15 pts | Subcampeon 10 pts | 3er puesto 8 pts | 4to puesto 6 pts</t>
        </is>
      </c>
    </row>
    <row r="21">
      <c r="A21" s="2" t="inlineStr">
        <is>
          <t>Goleador: 10 pts (todo o nada)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</cols>
  <sheetData>
    <row r="1">
      <c r="A1" s="5" t="inlineStr">
        <is>
          <t>Grupo</t>
        </is>
      </c>
      <c r="B1" s="5" t="inlineStr">
        <is>
          <t>Equipo</t>
        </is>
      </c>
    </row>
    <row r="2">
      <c r="A2" t="inlineStr">
        <is>
          <t>A</t>
        </is>
      </c>
      <c r="B2" t="inlineStr">
        <is>
          <t>México</t>
        </is>
      </c>
    </row>
    <row r="3">
      <c r="A3" t="inlineStr">
        <is>
          <t>A</t>
        </is>
      </c>
      <c r="B3" t="inlineStr">
        <is>
          <t>Sudáfrica</t>
        </is>
      </c>
    </row>
    <row r="4">
      <c r="A4" t="inlineStr">
        <is>
          <t>A</t>
        </is>
      </c>
      <c r="B4" t="inlineStr">
        <is>
          <t>Corea del Sur</t>
        </is>
      </c>
    </row>
    <row r="5">
      <c r="A5" t="inlineStr">
        <is>
          <t>A</t>
        </is>
      </c>
      <c r="B5" t="inlineStr">
        <is>
          <t>República Checa</t>
        </is>
      </c>
    </row>
    <row r="6">
      <c r="A6" t="inlineStr">
        <is>
          <t>B</t>
        </is>
      </c>
      <c r="B6" t="inlineStr">
        <is>
          <t>Canadá</t>
        </is>
      </c>
    </row>
    <row r="7">
      <c r="A7" t="inlineStr">
        <is>
          <t>B</t>
        </is>
      </c>
      <c r="B7" t="inlineStr">
        <is>
          <t>Bosnia y Herzegovina</t>
        </is>
      </c>
    </row>
    <row r="8">
      <c r="A8" t="inlineStr">
        <is>
          <t>B</t>
        </is>
      </c>
      <c r="B8" t="inlineStr">
        <is>
          <t>Catar</t>
        </is>
      </c>
    </row>
    <row r="9">
      <c r="A9" t="inlineStr">
        <is>
          <t>B</t>
        </is>
      </c>
      <c r="B9" t="inlineStr">
        <is>
          <t>Suiza</t>
        </is>
      </c>
    </row>
    <row r="10">
      <c r="A10" t="inlineStr">
        <is>
          <t>C</t>
        </is>
      </c>
      <c r="B10" t="inlineStr">
        <is>
          <t>Brasil</t>
        </is>
      </c>
    </row>
    <row r="11">
      <c r="A11" t="inlineStr">
        <is>
          <t>C</t>
        </is>
      </c>
      <c r="B11" t="inlineStr">
        <is>
          <t>Marruecos</t>
        </is>
      </c>
    </row>
    <row r="12">
      <c r="A12" t="inlineStr">
        <is>
          <t>C</t>
        </is>
      </c>
      <c r="B12" t="inlineStr">
        <is>
          <t>Haití</t>
        </is>
      </c>
    </row>
    <row r="13">
      <c r="A13" t="inlineStr">
        <is>
          <t>C</t>
        </is>
      </c>
      <c r="B13" t="inlineStr">
        <is>
          <t>Escocia</t>
        </is>
      </c>
    </row>
    <row r="14">
      <c r="A14" t="inlineStr">
        <is>
          <t>D</t>
        </is>
      </c>
      <c r="B14" t="inlineStr">
        <is>
          <t>Estados Unidos</t>
        </is>
      </c>
    </row>
    <row r="15">
      <c r="A15" t="inlineStr">
        <is>
          <t>D</t>
        </is>
      </c>
      <c r="B15" t="inlineStr">
        <is>
          <t>Paraguay</t>
        </is>
      </c>
    </row>
    <row r="16">
      <c r="A16" t="inlineStr">
        <is>
          <t>D</t>
        </is>
      </c>
      <c r="B16" t="inlineStr">
        <is>
          <t>Australia</t>
        </is>
      </c>
    </row>
    <row r="17">
      <c r="A17" t="inlineStr">
        <is>
          <t>D</t>
        </is>
      </c>
      <c r="B17" t="inlineStr">
        <is>
          <t>Turquía</t>
        </is>
      </c>
    </row>
    <row r="18">
      <c r="A18" t="inlineStr">
        <is>
          <t>E</t>
        </is>
      </c>
      <c r="B18" t="inlineStr">
        <is>
          <t>Alemania</t>
        </is>
      </c>
    </row>
    <row r="19">
      <c r="A19" t="inlineStr">
        <is>
          <t>E</t>
        </is>
      </c>
      <c r="B19" t="inlineStr">
        <is>
          <t>Curazao</t>
        </is>
      </c>
    </row>
    <row r="20">
      <c r="A20" t="inlineStr">
        <is>
          <t>E</t>
        </is>
      </c>
      <c r="B20" t="inlineStr">
        <is>
          <t>Costa de Marfil</t>
        </is>
      </c>
    </row>
    <row r="21">
      <c r="A21" t="inlineStr">
        <is>
          <t>E</t>
        </is>
      </c>
      <c r="B21" t="inlineStr">
        <is>
          <t>Ecuador</t>
        </is>
      </c>
    </row>
    <row r="22">
      <c r="A22" t="inlineStr">
        <is>
          <t>F</t>
        </is>
      </c>
      <c r="B22" t="inlineStr">
        <is>
          <t>Países Bajos</t>
        </is>
      </c>
    </row>
    <row r="23">
      <c r="A23" t="inlineStr">
        <is>
          <t>F</t>
        </is>
      </c>
      <c r="B23" t="inlineStr">
        <is>
          <t>Japón</t>
        </is>
      </c>
    </row>
    <row r="24">
      <c r="A24" t="inlineStr">
        <is>
          <t>F</t>
        </is>
      </c>
      <c r="B24" t="inlineStr">
        <is>
          <t>Suecia</t>
        </is>
      </c>
    </row>
    <row r="25">
      <c r="A25" t="inlineStr">
        <is>
          <t>F</t>
        </is>
      </c>
      <c r="B25" t="inlineStr">
        <is>
          <t>Túnez</t>
        </is>
      </c>
    </row>
    <row r="26">
      <c r="A26" t="inlineStr">
        <is>
          <t>G</t>
        </is>
      </c>
      <c r="B26" t="inlineStr">
        <is>
          <t>Bélgica</t>
        </is>
      </c>
    </row>
    <row r="27">
      <c r="A27" t="inlineStr">
        <is>
          <t>G</t>
        </is>
      </c>
      <c r="B27" t="inlineStr">
        <is>
          <t>Egipto</t>
        </is>
      </c>
    </row>
    <row r="28">
      <c r="A28" t="inlineStr">
        <is>
          <t>G</t>
        </is>
      </c>
      <c r="B28" t="inlineStr">
        <is>
          <t>Irán</t>
        </is>
      </c>
    </row>
    <row r="29">
      <c r="A29" t="inlineStr">
        <is>
          <t>G</t>
        </is>
      </c>
      <c r="B29" t="inlineStr">
        <is>
          <t>Nueva Zelanda</t>
        </is>
      </c>
    </row>
    <row r="30">
      <c r="A30" t="inlineStr">
        <is>
          <t>H</t>
        </is>
      </c>
      <c r="B30" t="inlineStr">
        <is>
          <t>España</t>
        </is>
      </c>
    </row>
    <row r="31">
      <c r="A31" t="inlineStr">
        <is>
          <t>H</t>
        </is>
      </c>
      <c r="B31" t="inlineStr">
        <is>
          <t>Cabo Verde</t>
        </is>
      </c>
    </row>
    <row r="32">
      <c r="A32" t="inlineStr">
        <is>
          <t>H</t>
        </is>
      </c>
      <c r="B32" t="inlineStr">
        <is>
          <t>Arabia Saudita</t>
        </is>
      </c>
    </row>
    <row r="33">
      <c r="A33" t="inlineStr">
        <is>
          <t>H</t>
        </is>
      </c>
      <c r="B33" t="inlineStr">
        <is>
          <t>Uruguay</t>
        </is>
      </c>
    </row>
    <row r="34">
      <c r="A34" t="inlineStr">
        <is>
          <t>I</t>
        </is>
      </c>
      <c r="B34" t="inlineStr">
        <is>
          <t>Francia</t>
        </is>
      </c>
    </row>
    <row r="35">
      <c r="A35" t="inlineStr">
        <is>
          <t>I</t>
        </is>
      </c>
      <c r="B35" t="inlineStr">
        <is>
          <t>Senegal</t>
        </is>
      </c>
    </row>
    <row r="36">
      <c r="A36" t="inlineStr">
        <is>
          <t>I</t>
        </is>
      </c>
      <c r="B36" t="inlineStr">
        <is>
          <t>Irak</t>
        </is>
      </c>
    </row>
    <row r="37">
      <c r="A37" t="inlineStr">
        <is>
          <t>I</t>
        </is>
      </c>
      <c r="B37" t="inlineStr">
        <is>
          <t>Noruega</t>
        </is>
      </c>
    </row>
    <row r="38">
      <c r="A38" t="inlineStr">
        <is>
          <t>J</t>
        </is>
      </c>
      <c r="B38" t="inlineStr">
        <is>
          <t>Argentina</t>
        </is>
      </c>
    </row>
    <row r="39">
      <c r="A39" t="inlineStr">
        <is>
          <t>J</t>
        </is>
      </c>
      <c r="B39" t="inlineStr">
        <is>
          <t>Argelia</t>
        </is>
      </c>
    </row>
    <row r="40">
      <c r="A40" t="inlineStr">
        <is>
          <t>J</t>
        </is>
      </c>
      <c r="B40" t="inlineStr">
        <is>
          <t>Austria</t>
        </is>
      </c>
    </row>
    <row r="41">
      <c r="A41" t="inlineStr">
        <is>
          <t>J</t>
        </is>
      </c>
      <c r="B41" t="inlineStr">
        <is>
          <t>Jordania</t>
        </is>
      </c>
    </row>
    <row r="42">
      <c r="A42" t="inlineStr">
        <is>
          <t>K</t>
        </is>
      </c>
      <c r="B42" t="inlineStr">
        <is>
          <t>Portugal</t>
        </is>
      </c>
    </row>
    <row r="43">
      <c r="A43" t="inlineStr">
        <is>
          <t>K</t>
        </is>
      </c>
      <c r="B43" t="inlineStr">
        <is>
          <t>R.D. del Congo</t>
        </is>
      </c>
    </row>
    <row r="44">
      <c r="A44" t="inlineStr">
        <is>
          <t>K</t>
        </is>
      </c>
      <c r="B44" t="inlineStr">
        <is>
          <t>Uzbekistán</t>
        </is>
      </c>
    </row>
    <row r="45">
      <c r="A45" t="inlineStr">
        <is>
          <t>K</t>
        </is>
      </c>
      <c r="B45" t="inlineStr">
        <is>
          <t>Colombia</t>
        </is>
      </c>
    </row>
    <row r="46">
      <c r="A46" t="inlineStr">
        <is>
          <t>L</t>
        </is>
      </c>
      <c r="B46" t="inlineStr">
        <is>
          <t>Inglaterra</t>
        </is>
      </c>
    </row>
    <row r="47">
      <c r="A47" t="inlineStr">
        <is>
          <t>L</t>
        </is>
      </c>
      <c r="B47" t="inlineStr">
        <is>
          <t>Croacia</t>
        </is>
      </c>
    </row>
    <row r="48">
      <c r="A48" t="inlineStr">
        <is>
          <t>L</t>
        </is>
      </c>
      <c r="B48" t="inlineStr">
        <is>
          <t>Ghana</t>
        </is>
      </c>
    </row>
    <row r="49">
      <c r="A49" t="inlineStr">
        <is>
          <t>L</t>
        </is>
      </c>
      <c r="B49" t="inlineStr">
        <is>
          <t>Panamá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18" customWidth="1" min="4" max="4"/>
    <col width="13" customWidth="1" min="5" max="5"/>
    <col width="17" customWidth="1" min="6" max="6"/>
    <col width="12" customWidth="1" min="7" max="7"/>
    <col width="16" customWidth="1" min="8" max="8"/>
    <col width="42" customWidth="1" min="9" max="9"/>
  </cols>
  <sheetData>
    <row r="1">
      <c r="A1" s="5" t="inlineStr">
        <is>
          <t>#</t>
        </is>
      </c>
      <c r="B1" s="5" t="inlineStr">
        <is>
          <t>Grupo</t>
        </is>
      </c>
      <c r="C1" s="5" t="inlineStr">
        <is>
          <t>Local</t>
        </is>
      </c>
      <c r="D1" s="5" t="inlineStr">
        <is>
          <t>Visitante</t>
        </is>
      </c>
      <c r="E1" s="5" t="inlineStr">
        <is>
          <t>Pron. Local</t>
        </is>
      </c>
      <c r="F1" s="5" t="inlineStr">
        <is>
          <t>Pron. Visitante</t>
        </is>
      </c>
      <c r="G1" s="5" t="inlineStr">
        <is>
          <t>Real Local</t>
        </is>
      </c>
      <c r="H1" s="5" t="inlineStr">
        <is>
          <t>Real Visitante</t>
        </is>
      </c>
      <c r="I1" s="5" t="inlineStr">
        <is>
          <t>Puntos</t>
        </is>
      </c>
    </row>
    <row r="2">
      <c r="A2" s="6" t="n">
        <v>1</v>
      </c>
      <c r="B2" s="6" t="inlineStr">
        <is>
          <t>A</t>
        </is>
      </c>
      <c r="C2" s="6" t="inlineStr">
        <is>
          <t>México</t>
        </is>
      </c>
      <c r="D2" s="6" t="inlineStr">
        <is>
          <t>Sudáfrica</t>
        </is>
      </c>
      <c r="E2" s="7" t="n"/>
      <c r="F2" s="7" t="n"/>
      <c r="G2" s="7" t="n"/>
      <c r="H2" s="7" t="n"/>
      <c r="I2" s="8">
        <f>IF(OR(G2="",H2="",E2="",F2=""),0,IF(AND(E2=G2,F2=H2),3,IF(SIGN(E2-F2)=SIGN(G2-H2),1,0)))</f>
        <v/>
      </c>
    </row>
    <row r="3">
      <c r="A3" s="6" t="n">
        <v>2</v>
      </c>
      <c r="B3" s="6" t="inlineStr">
        <is>
          <t>A</t>
        </is>
      </c>
      <c r="C3" s="6" t="inlineStr">
        <is>
          <t>Corea del Sur</t>
        </is>
      </c>
      <c r="D3" s="6" t="inlineStr">
        <is>
          <t>República Checa</t>
        </is>
      </c>
      <c r="E3" s="7" t="n"/>
      <c r="F3" s="7" t="n"/>
      <c r="G3" s="7" t="n"/>
      <c r="H3" s="7" t="n"/>
      <c r="I3" s="8">
        <f>IF(OR(G3="",H3="",E3="",F3=""),0,IF(AND(E3=G3,F3=H3),3,IF(SIGN(E3-F3)=SIGN(G3-H3),1,0)))</f>
        <v/>
      </c>
    </row>
    <row r="4">
      <c r="A4" s="6" t="n">
        <v>3</v>
      </c>
      <c r="B4" s="6" t="inlineStr">
        <is>
          <t>A</t>
        </is>
      </c>
      <c r="C4" s="6" t="inlineStr">
        <is>
          <t>República Checa</t>
        </is>
      </c>
      <c r="D4" s="6" t="inlineStr">
        <is>
          <t>Sudáfrica</t>
        </is>
      </c>
      <c r="E4" s="7" t="n"/>
      <c r="F4" s="7" t="n"/>
      <c r="G4" s="7" t="n"/>
      <c r="H4" s="7" t="n"/>
      <c r="I4" s="8">
        <f>IF(OR(G4="",H4="",E4="",F4=""),0,IF(AND(E4=G4,F4=H4),3,IF(SIGN(E4-F4)=SIGN(G4-H4),1,0)))</f>
        <v/>
      </c>
    </row>
    <row r="5">
      <c r="A5" s="6" t="n">
        <v>4</v>
      </c>
      <c r="B5" s="6" t="inlineStr">
        <is>
          <t>A</t>
        </is>
      </c>
      <c r="C5" s="6" t="inlineStr">
        <is>
          <t>México</t>
        </is>
      </c>
      <c r="D5" s="6" t="inlineStr">
        <is>
          <t>Corea del Sur</t>
        </is>
      </c>
      <c r="E5" s="7" t="n"/>
      <c r="F5" s="7" t="n"/>
      <c r="G5" s="7" t="n"/>
      <c r="H5" s="7" t="n"/>
      <c r="I5" s="8">
        <f>IF(OR(G5="",H5="",E5="",F5=""),0,IF(AND(E5=G5,F5=H5),3,IF(SIGN(E5-F5)=SIGN(G5-H5),1,0)))</f>
        <v/>
      </c>
    </row>
    <row r="6">
      <c r="A6" s="6" t="n">
        <v>5</v>
      </c>
      <c r="B6" s="6" t="inlineStr">
        <is>
          <t>A</t>
        </is>
      </c>
      <c r="C6" s="6" t="inlineStr">
        <is>
          <t>República Checa</t>
        </is>
      </c>
      <c r="D6" s="6" t="inlineStr">
        <is>
          <t>México</t>
        </is>
      </c>
      <c r="E6" s="7" t="n"/>
      <c r="F6" s="7" t="n"/>
      <c r="G6" s="7" t="n"/>
      <c r="H6" s="7" t="n"/>
      <c r="I6" s="8">
        <f>IF(OR(G6="",H6="",E6="",F6=""),0,IF(AND(E6=G6,F6=H6),3,IF(SIGN(E6-F6)=SIGN(G6-H6),1,0)))</f>
        <v/>
      </c>
    </row>
    <row r="7">
      <c r="A7" s="6" t="n">
        <v>6</v>
      </c>
      <c r="B7" s="6" t="inlineStr">
        <is>
          <t>A</t>
        </is>
      </c>
      <c r="C7" s="6" t="inlineStr">
        <is>
          <t>Sudáfrica</t>
        </is>
      </c>
      <c r="D7" s="6" t="inlineStr">
        <is>
          <t>Corea del Sur</t>
        </is>
      </c>
      <c r="E7" s="7" t="n"/>
      <c r="F7" s="7" t="n"/>
      <c r="G7" s="7" t="n"/>
      <c r="H7" s="7" t="n"/>
      <c r="I7" s="8">
        <f>IF(OR(G7="",H7="",E7="",F7=""),0,IF(AND(E7=G7,F7=H7),3,IF(SIGN(E7-F7)=SIGN(G7-H7),1,0)))</f>
        <v/>
      </c>
    </row>
    <row r="8">
      <c r="A8" s="6" t="n">
        <v>7</v>
      </c>
      <c r="B8" s="6" t="inlineStr">
        <is>
          <t>B</t>
        </is>
      </c>
      <c r="C8" s="6" t="inlineStr">
        <is>
          <t>Canadá</t>
        </is>
      </c>
      <c r="D8" s="6" t="inlineStr">
        <is>
          <t>Bosnia y Herzegovina</t>
        </is>
      </c>
      <c r="E8" s="7" t="n"/>
      <c r="F8" s="7" t="n"/>
      <c r="G8" s="7" t="n"/>
      <c r="H8" s="7" t="n"/>
      <c r="I8" s="8">
        <f>IF(OR(G8="",H8="",E8="",F8=""),0,IF(AND(E8=G8,F8=H8),3,IF(SIGN(E8-F8)=SIGN(G8-H8),1,0)))</f>
        <v/>
      </c>
    </row>
    <row r="9">
      <c r="A9" s="6" t="n">
        <v>8</v>
      </c>
      <c r="B9" s="6" t="inlineStr">
        <is>
          <t>B</t>
        </is>
      </c>
      <c r="C9" s="6" t="inlineStr">
        <is>
          <t>Catar</t>
        </is>
      </c>
      <c r="D9" s="6" t="inlineStr">
        <is>
          <t>Suiza</t>
        </is>
      </c>
      <c r="E9" s="7" t="n"/>
      <c r="F9" s="7" t="n"/>
      <c r="G9" s="7" t="n"/>
      <c r="H9" s="7" t="n"/>
      <c r="I9" s="8">
        <f>IF(OR(G9="",H9="",E9="",F9=""),0,IF(AND(E9=G9,F9=H9),3,IF(SIGN(E9-F9)=SIGN(G9-H9),1,0)))</f>
        <v/>
      </c>
    </row>
    <row r="10">
      <c r="A10" s="6" t="n">
        <v>9</v>
      </c>
      <c r="B10" s="6" t="inlineStr">
        <is>
          <t>B</t>
        </is>
      </c>
      <c r="C10" s="6" t="inlineStr">
        <is>
          <t>Suiza</t>
        </is>
      </c>
      <c r="D10" s="6" t="inlineStr">
        <is>
          <t>Bosnia y Herzegovina</t>
        </is>
      </c>
      <c r="E10" s="7" t="n"/>
      <c r="F10" s="7" t="n"/>
      <c r="G10" s="7" t="n"/>
      <c r="H10" s="7" t="n"/>
      <c r="I10" s="8">
        <f>IF(OR(G10="",H10="",E10="",F10=""),0,IF(AND(E10=G10,F10=H10),3,IF(SIGN(E10-F10)=SIGN(G10-H10),1,0)))</f>
        <v/>
      </c>
    </row>
    <row r="11">
      <c r="A11" s="6" t="n">
        <v>10</v>
      </c>
      <c r="B11" s="6" t="inlineStr">
        <is>
          <t>B</t>
        </is>
      </c>
      <c r="C11" s="6" t="inlineStr">
        <is>
          <t>Canadá</t>
        </is>
      </c>
      <c r="D11" s="6" t="inlineStr">
        <is>
          <t>Catar</t>
        </is>
      </c>
      <c r="E11" s="7" t="n"/>
      <c r="F11" s="7" t="n"/>
      <c r="G11" s="7" t="n"/>
      <c r="H11" s="7" t="n"/>
      <c r="I11" s="8">
        <f>IF(OR(G11="",H11="",E11="",F11=""),0,IF(AND(E11=G11,F11=H11),3,IF(SIGN(E11-F11)=SIGN(G11-H11),1,0)))</f>
        <v/>
      </c>
    </row>
    <row r="12">
      <c r="A12" s="6" t="n">
        <v>11</v>
      </c>
      <c r="B12" s="6" t="inlineStr">
        <is>
          <t>B</t>
        </is>
      </c>
      <c r="C12" s="6" t="inlineStr">
        <is>
          <t>Suiza</t>
        </is>
      </c>
      <c r="D12" s="6" t="inlineStr">
        <is>
          <t>Canadá</t>
        </is>
      </c>
      <c r="E12" s="7" t="n"/>
      <c r="F12" s="7" t="n"/>
      <c r="G12" s="7" t="n"/>
      <c r="H12" s="7" t="n"/>
      <c r="I12" s="8">
        <f>IF(OR(G12="",H12="",E12="",F12=""),0,IF(AND(E12=G12,F12=H12),3,IF(SIGN(E12-F12)=SIGN(G12-H12),1,0)))</f>
        <v/>
      </c>
    </row>
    <row r="13">
      <c r="A13" s="6" t="n">
        <v>12</v>
      </c>
      <c r="B13" s="6" t="inlineStr">
        <is>
          <t>B</t>
        </is>
      </c>
      <c r="C13" s="6" t="inlineStr">
        <is>
          <t>Bosnia y Herzegovina</t>
        </is>
      </c>
      <c r="D13" s="6" t="inlineStr">
        <is>
          <t>Catar</t>
        </is>
      </c>
      <c r="E13" s="7" t="n"/>
      <c r="F13" s="7" t="n"/>
      <c r="G13" s="7" t="n"/>
      <c r="H13" s="7" t="n"/>
      <c r="I13" s="8">
        <f>IF(OR(G13="",H13="",E13="",F13=""),0,IF(AND(E13=G13,F13=H13),3,IF(SIGN(E13-F13)=SIGN(G13-H13),1,0)))</f>
        <v/>
      </c>
    </row>
    <row r="14">
      <c r="A14" s="6" t="n">
        <v>13</v>
      </c>
      <c r="B14" s="6" t="inlineStr">
        <is>
          <t>C</t>
        </is>
      </c>
      <c r="C14" s="6" t="inlineStr">
        <is>
          <t>Brasil</t>
        </is>
      </c>
      <c r="D14" s="6" t="inlineStr">
        <is>
          <t>Marruecos</t>
        </is>
      </c>
      <c r="E14" s="7" t="n"/>
      <c r="F14" s="7" t="n"/>
      <c r="G14" s="7" t="n"/>
      <c r="H14" s="7" t="n"/>
      <c r="I14" s="8">
        <f>IF(OR(G14="",H14="",E14="",F14=""),0,IF(AND(E14=G14,F14=H14),3,IF(SIGN(E14-F14)=SIGN(G14-H14),1,0)))</f>
        <v/>
      </c>
    </row>
    <row r="15">
      <c r="A15" s="6" t="n">
        <v>14</v>
      </c>
      <c r="B15" s="6" t="inlineStr">
        <is>
          <t>C</t>
        </is>
      </c>
      <c r="C15" s="6" t="inlineStr">
        <is>
          <t>Haití</t>
        </is>
      </c>
      <c r="D15" s="6" t="inlineStr">
        <is>
          <t>Escocia</t>
        </is>
      </c>
      <c r="E15" s="7" t="n"/>
      <c r="F15" s="7" t="n"/>
      <c r="G15" s="7" t="n"/>
      <c r="H15" s="7" t="n"/>
      <c r="I15" s="8">
        <f>IF(OR(G15="",H15="",E15="",F15=""),0,IF(AND(E15=G15,F15=H15),3,IF(SIGN(E15-F15)=SIGN(G15-H15),1,0)))</f>
        <v/>
      </c>
    </row>
    <row r="16">
      <c r="A16" s="6" t="n">
        <v>15</v>
      </c>
      <c r="B16" s="6" t="inlineStr">
        <is>
          <t>C</t>
        </is>
      </c>
      <c r="C16" s="6" t="inlineStr">
        <is>
          <t>Escocia</t>
        </is>
      </c>
      <c r="D16" s="6" t="inlineStr">
        <is>
          <t>Marruecos</t>
        </is>
      </c>
      <c r="E16" s="7" t="n"/>
      <c r="F16" s="7" t="n"/>
      <c r="G16" s="7" t="n"/>
      <c r="H16" s="7" t="n"/>
      <c r="I16" s="8">
        <f>IF(OR(G16="",H16="",E16="",F16=""),0,IF(AND(E16=G16,F16=H16),3,IF(SIGN(E16-F16)=SIGN(G16-H16),1,0)))</f>
        <v/>
      </c>
    </row>
    <row r="17">
      <c r="A17" s="6" t="n">
        <v>16</v>
      </c>
      <c r="B17" s="6" t="inlineStr">
        <is>
          <t>C</t>
        </is>
      </c>
      <c r="C17" s="6" t="inlineStr">
        <is>
          <t>Brasil</t>
        </is>
      </c>
      <c r="D17" s="6" t="inlineStr">
        <is>
          <t>Haití</t>
        </is>
      </c>
      <c r="E17" s="7" t="n"/>
      <c r="F17" s="7" t="n"/>
      <c r="G17" s="7" t="n"/>
      <c r="H17" s="7" t="n"/>
      <c r="I17" s="8">
        <f>IF(OR(G17="",H17="",E17="",F17=""),0,IF(AND(E17=G17,F17=H17),3,IF(SIGN(E17-F17)=SIGN(G17-H17),1,0)))</f>
        <v/>
      </c>
    </row>
    <row r="18">
      <c r="A18" s="6" t="n">
        <v>17</v>
      </c>
      <c r="B18" s="6" t="inlineStr">
        <is>
          <t>C</t>
        </is>
      </c>
      <c r="C18" s="6" t="inlineStr">
        <is>
          <t>Escocia</t>
        </is>
      </c>
      <c r="D18" s="6" t="inlineStr">
        <is>
          <t>Brasil</t>
        </is>
      </c>
      <c r="E18" s="7" t="n"/>
      <c r="F18" s="7" t="n"/>
      <c r="G18" s="7" t="n"/>
      <c r="H18" s="7" t="n"/>
      <c r="I18" s="8">
        <f>IF(OR(G18="",H18="",E18="",F18=""),0,IF(AND(E18=G18,F18=H18),3,IF(SIGN(E18-F18)=SIGN(G18-H18),1,0)))</f>
        <v/>
      </c>
    </row>
    <row r="19">
      <c r="A19" s="6" t="n">
        <v>18</v>
      </c>
      <c r="B19" s="6" t="inlineStr">
        <is>
          <t>C</t>
        </is>
      </c>
      <c r="C19" s="6" t="inlineStr">
        <is>
          <t>Marruecos</t>
        </is>
      </c>
      <c r="D19" s="6" t="inlineStr">
        <is>
          <t>Haití</t>
        </is>
      </c>
      <c r="E19" s="7" t="n"/>
      <c r="F19" s="7" t="n"/>
      <c r="G19" s="7" t="n"/>
      <c r="H19" s="7" t="n"/>
      <c r="I19" s="8">
        <f>IF(OR(G19="",H19="",E19="",F19=""),0,IF(AND(E19=G19,F19=H19),3,IF(SIGN(E19-F19)=SIGN(G19-H19),1,0)))</f>
        <v/>
      </c>
    </row>
    <row r="20">
      <c r="A20" s="6" t="n">
        <v>19</v>
      </c>
      <c r="B20" s="6" t="inlineStr">
        <is>
          <t>D</t>
        </is>
      </c>
      <c r="C20" s="6" t="inlineStr">
        <is>
          <t>Estados Unidos</t>
        </is>
      </c>
      <c r="D20" s="6" t="inlineStr">
        <is>
          <t>Paraguay</t>
        </is>
      </c>
      <c r="E20" s="7" t="n"/>
      <c r="F20" s="7" t="n"/>
      <c r="G20" s="7" t="n"/>
      <c r="H20" s="7" t="n"/>
      <c r="I20" s="8">
        <f>IF(OR(G20="",H20="",E20="",F20=""),0,IF(AND(E20=G20,F20=H20),3,IF(SIGN(E20-F20)=SIGN(G20-H20),1,0)))</f>
        <v/>
      </c>
    </row>
    <row r="21">
      <c r="A21" s="6" t="n">
        <v>20</v>
      </c>
      <c r="B21" s="6" t="inlineStr">
        <is>
          <t>D</t>
        </is>
      </c>
      <c r="C21" s="6" t="inlineStr">
        <is>
          <t>Australia</t>
        </is>
      </c>
      <c r="D21" s="6" t="inlineStr">
        <is>
          <t>Turquía</t>
        </is>
      </c>
      <c r="E21" s="7" t="n"/>
      <c r="F21" s="7" t="n"/>
      <c r="G21" s="7" t="n"/>
      <c r="H21" s="7" t="n"/>
      <c r="I21" s="8">
        <f>IF(OR(G21="",H21="",E21="",F21=""),0,IF(AND(E21=G21,F21=H21),3,IF(SIGN(E21-F21)=SIGN(G21-H21),1,0)))</f>
        <v/>
      </c>
    </row>
    <row r="22">
      <c r="A22" s="6" t="n">
        <v>21</v>
      </c>
      <c r="B22" s="6" t="inlineStr">
        <is>
          <t>D</t>
        </is>
      </c>
      <c r="C22" s="6" t="inlineStr">
        <is>
          <t>Estados Unidos</t>
        </is>
      </c>
      <c r="D22" s="6" t="inlineStr">
        <is>
          <t>Australia</t>
        </is>
      </c>
      <c r="E22" s="7" t="n"/>
      <c r="F22" s="7" t="n"/>
      <c r="G22" s="7" t="n"/>
      <c r="H22" s="7" t="n"/>
      <c r="I22" s="8">
        <f>IF(OR(G22="",H22="",E22="",F22=""),0,IF(AND(E22=G22,F22=H22),3,IF(SIGN(E22-F22)=SIGN(G22-H22),1,0)))</f>
        <v/>
      </c>
    </row>
    <row r="23">
      <c r="A23" s="6" t="n">
        <v>22</v>
      </c>
      <c r="B23" s="6" t="inlineStr">
        <is>
          <t>D</t>
        </is>
      </c>
      <c r="C23" s="6" t="inlineStr">
        <is>
          <t>Turquía</t>
        </is>
      </c>
      <c r="D23" s="6" t="inlineStr">
        <is>
          <t>Paraguay</t>
        </is>
      </c>
      <c r="E23" s="7" t="n"/>
      <c r="F23" s="7" t="n"/>
      <c r="G23" s="7" t="n"/>
      <c r="H23" s="7" t="n"/>
      <c r="I23" s="8">
        <f>IF(OR(G23="",H23="",E23="",F23=""),0,IF(AND(E23=G23,F23=H23),3,IF(SIGN(E23-F23)=SIGN(G23-H23),1,0)))</f>
        <v/>
      </c>
    </row>
    <row r="24">
      <c r="A24" s="6" t="n">
        <v>23</v>
      </c>
      <c r="B24" s="6" t="inlineStr">
        <is>
          <t>D</t>
        </is>
      </c>
      <c r="C24" s="6" t="inlineStr">
        <is>
          <t>Turquía</t>
        </is>
      </c>
      <c r="D24" s="6" t="inlineStr">
        <is>
          <t>Estados Unidos</t>
        </is>
      </c>
      <c r="E24" s="7" t="n"/>
      <c r="F24" s="7" t="n"/>
      <c r="G24" s="7" t="n"/>
      <c r="H24" s="7" t="n"/>
      <c r="I24" s="8">
        <f>IF(OR(G24="",H24="",E24="",F24=""),0,IF(AND(E24=G24,F24=H24),3,IF(SIGN(E24-F24)=SIGN(G24-H24),1,0)))</f>
        <v/>
      </c>
    </row>
    <row r="25">
      <c r="A25" s="6" t="n">
        <v>24</v>
      </c>
      <c r="B25" s="6" t="inlineStr">
        <is>
          <t>D</t>
        </is>
      </c>
      <c r="C25" s="6" t="inlineStr">
        <is>
          <t>Paraguay</t>
        </is>
      </c>
      <c r="D25" s="6" t="inlineStr">
        <is>
          <t>Australia</t>
        </is>
      </c>
      <c r="E25" s="7" t="n"/>
      <c r="F25" s="7" t="n"/>
      <c r="G25" s="7" t="n"/>
      <c r="H25" s="7" t="n"/>
      <c r="I25" s="8">
        <f>IF(OR(G25="",H25="",E25="",F25=""),0,IF(AND(E25=G25,F25=H25),3,IF(SIGN(E25-F25)=SIGN(G25-H25),1,0)))</f>
        <v/>
      </c>
    </row>
    <row r="26">
      <c r="A26" s="6" t="n">
        <v>25</v>
      </c>
      <c r="B26" s="6" t="inlineStr">
        <is>
          <t>E</t>
        </is>
      </c>
      <c r="C26" s="6" t="inlineStr">
        <is>
          <t>Alemania</t>
        </is>
      </c>
      <c r="D26" s="6" t="inlineStr">
        <is>
          <t>Curazao</t>
        </is>
      </c>
      <c r="E26" s="7" t="n"/>
      <c r="F26" s="7" t="n"/>
      <c r="G26" s="7" t="n"/>
      <c r="H26" s="7" t="n"/>
      <c r="I26" s="8">
        <f>IF(OR(G26="",H26="",E26="",F26=""),0,IF(AND(E26=G26,F26=H26),3,IF(SIGN(E26-F26)=SIGN(G26-H26),1,0)))</f>
        <v/>
      </c>
    </row>
    <row r="27">
      <c r="A27" s="6" t="n">
        <v>26</v>
      </c>
      <c r="B27" s="6" t="inlineStr">
        <is>
          <t>E</t>
        </is>
      </c>
      <c r="C27" s="6" t="inlineStr">
        <is>
          <t>Costa de Marfil</t>
        </is>
      </c>
      <c r="D27" s="6" t="inlineStr">
        <is>
          <t>Ecuador</t>
        </is>
      </c>
      <c r="E27" s="7" t="n"/>
      <c r="F27" s="7" t="n"/>
      <c r="G27" s="7" t="n"/>
      <c r="H27" s="7" t="n"/>
      <c r="I27" s="8">
        <f>IF(OR(G27="",H27="",E27="",F27=""),0,IF(AND(E27=G27,F27=H27),3,IF(SIGN(E27-F27)=SIGN(G27-H27),1,0)))</f>
        <v/>
      </c>
    </row>
    <row r="28">
      <c r="A28" s="6" t="n">
        <v>27</v>
      </c>
      <c r="B28" s="6" t="inlineStr">
        <is>
          <t>E</t>
        </is>
      </c>
      <c r="C28" s="6" t="inlineStr">
        <is>
          <t>Alemania</t>
        </is>
      </c>
      <c r="D28" s="6" t="inlineStr">
        <is>
          <t>Costa de Marfil</t>
        </is>
      </c>
      <c r="E28" s="7" t="n"/>
      <c r="F28" s="7" t="n"/>
      <c r="G28" s="7" t="n"/>
      <c r="H28" s="7" t="n"/>
      <c r="I28" s="8">
        <f>IF(OR(G28="",H28="",E28="",F28=""),0,IF(AND(E28=G28,F28=H28),3,IF(SIGN(E28-F28)=SIGN(G28-H28),1,0)))</f>
        <v/>
      </c>
    </row>
    <row r="29">
      <c r="A29" s="6" t="n">
        <v>28</v>
      </c>
      <c r="B29" s="6" t="inlineStr">
        <is>
          <t>E</t>
        </is>
      </c>
      <c r="C29" s="6" t="inlineStr">
        <is>
          <t>Ecuador</t>
        </is>
      </c>
      <c r="D29" s="6" t="inlineStr">
        <is>
          <t>Curazao</t>
        </is>
      </c>
      <c r="E29" s="7" t="n"/>
      <c r="F29" s="7" t="n"/>
      <c r="G29" s="7" t="n"/>
      <c r="H29" s="7" t="n"/>
      <c r="I29" s="8">
        <f>IF(OR(G29="",H29="",E29="",F29=""),0,IF(AND(E29=G29,F29=H29),3,IF(SIGN(E29-F29)=SIGN(G29-H29),1,0)))</f>
        <v/>
      </c>
    </row>
    <row r="30">
      <c r="A30" s="6" t="n">
        <v>29</v>
      </c>
      <c r="B30" s="6" t="inlineStr">
        <is>
          <t>E</t>
        </is>
      </c>
      <c r="C30" s="6" t="inlineStr">
        <is>
          <t>Curazao</t>
        </is>
      </c>
      <c r="D30" s="6" t="inlineStr">
        <is>
          <t>Costa de Marfil</t>
        </is>
      </c>
      <c r="E30" s="7" t="n"/>
      <c r="F30" s="7" t="n"/>
      <c r="G30" s="7" t="n"/>
      <c r="H30" s="7" t="n"/>
      <c r="I30" s="8">
        <f>IF(OR(G30="",H30="",E30="",F30=""),0,IF(AND(E30=G30,F30=H30),3,IF(SIGN(E30-F30)=SIGN(G30-H30),1,0)))</f>
        <v/>
      </c>
    </row>
    <row r="31">
      <c r="A31" s="6" t="n">
        <v>30</v>
      </c>
      <c r="B31" s="6" t="inlineStr">
        <is>
          <t>E</t>
        </is>
      </c>
      <c r="C31" s="6" t="inlineStr">
        <is>
          <t>Ecuador</t>
        </is>
      </c>
      <c r="D31" s="6" t="inlineStr">
        <is>
          <t>Alemania</t>
        </is>
      </c>
      <c r="E31" s="7" t="n"/>
      <c r="F31" s="7" t="n"/>
      <c r="G31" s="7" t="n"/>
      <c r="H31" s="7" t="n"/>
      <c r="I31" s="8">
        <f>IF(OR(G31="",H31="",E31="",F31=""),0,IF(AND(E31=G31,F31=H31),3,IF(SIGN(E31-F31)=SIGN(G31-H31),1,0)))</f>
        <v/>
      </c>
    </row>
    <row r="32">
      <c r="A32" s="6" t="n">
        <v>31</v>
      </c>
      <c r="B32" s="6" t="inlineStr">
        <is>
          <t>F</t>
        </is>
      </c>
      <c r="C32" s="6" t="inlineStr">
        <is>
          <t>Países Bajos</t>
        </is>
      </c>
      <c r="D32" s="6" t="inlineStr">
        <is>
          <t>Japón</t>
        </is>
      </c>
      <c r="E32" s="7" t="n"/>
      <c r="F32" s="7" t="n"/>
      <c r="G32" s="7" t="n"/>
      <c r="H32" s="7" t="n"/>
      <c r="I32" s="8">
        <f>IF(OR(G32="",H32="",E32="",F32=""),0,IF(AND(E32=G32,F32=H32),3,IF(SIGN(E32-F32)=SIGN(G32-H32),1,0)))</f>
        <v/>
      </c>
    </row>
    <row r="33">
      <c r="A33" s="6" t="n">
        <v>32</v>
      </c>
      <c r="B33" s="6" t="inlineStr">
        <is>
          <t>F</t>
        </is>
      </c>
      <c r="C33" s="6" t="inlineStr">
        <is>
          <t>Suecia</t>
        </is>
      </c>
      <c r="D33" s="6" t="inlineStr">
        <is>
          <t>Túnez</t>
        </is>
      </c>
      <c r="E33" s="7" t="n"/>
      <c r="F33" s="7" t="n"/>
      <c r="G33" s="7" t="n"/>
      <c r="H33" s="7" t="n"/>
      <c r="I33" s="8">
        <f>IF(OR(G33="",H33="",E33="",F33=""),0,IF(AND(E33=G33,F33=H33),3,IF(SIGN(E33-F33)=SIGN(G33-H33),1,0)))</f>
        <v/>
      </c>
    </row>
    <row r="34">
      <c r="A34" s="6" t="n">
        <v>33</v>
      </c>
      <c r="B34" s="6" t="inlineStr">
        <is>
          <t>F</t>
        </is>
      </c>
      <c r="C34" s="6" t="inlineStr">
        <is>
          <t>Países Bajos</t>
        </is>
      </c>
      <c r="D34" s="6" t="inlineStr">
        <is>
          <t>Suecia</t>
        </is>
      </c>
      <c r="E34" s="7" t="n"/>
      <c r="F34" s="7" t="n"/>
      <c r="G34" s="7" t="n"/>
      <c r="H34" s="7" t="n"/>
      <c r="I34" s="8">
        <f>IF(OR(G34="",H34="",E34="",F34=""),0,IF(AND(E34=G34,F34=H34),3,IF(SIGN(E34-F34)=SIGN(G34-H34),1,0)))</f>
        <v/>
      </c>
    </row>
    <row r="35">
      <c r="A35" s="6" t="n">
        <v>34</v>
      </c>
      <c r="B35" s="6" t="inlineStr">
        <is>
          <t>F</t>
        </is>
      </c>
      <c r="C35" s="6" t="inlineStr">
        <is>
          <t>Túnez</t>
        </is>
      </c>
      <c r="D35" s="6" t="inlineStr">
        <is>
          <t>Japón</t>
        </is>
      </c>
      <c r="E35" s="7" t="n"/>
      <c r="F35" s="7" t="n"/>
      <c r="G35" s="7" t="n"/>
      <c r="H35" s="7" t="n"/>
      <c r="I35" s="8">
        <f>IF(OR(G35="",H35="",E35="",F35=""),0,IF(AND(E35=G35,F35=H35),3,IF(SIGN(E35-F35)=SIGN(G35-H35),1,0)))</f>
        <v/>
      </c>
    </row>
    <row r="36">
      <c r="A36" s="6" t="n">
        <v>35</v>
      </c>
      <c r="B36" s="6" t="inlineStr">
        <is>
          <t>F</t>
        </is>
      </c>
      <c r="C36" s="6" t="inlineStr">
        <is>
          <t>Japón</t>
        </is>
      </c>
      <c r="D36" s="6" t="inlineStr">
        <is>
          <t>Suecia</t>
        </is>
      </c>
      <c r="E36" s="7" t="n"/>
      <c r="F36" s="7" t="n"/>
      <c r="G36" s="7" t="n"/>
      <c r="H36" s="7" t="n"/>
      <c r="I36" s="8">
        <f>IF(OR(G36="",H36="",E36="",F36=""),0,IF(AND(E36=G36,F36=H36),3,IF(SIGN(E36-F36)=SIGN(G36-H36),1,0)))</f>
        <v/>
      </c>
    </row>
    <row r="37">
      <c r="A37" s="6" t="n">
        <v>36</v>
      </c>
      <c r="B37" s="6" t="inlineStr">
        <is>
          <t>F</t>
        </is>
      </c>
      <c r="C37" s="6" t="inlineStr">
        <is>
          <t>Túnez</t>
        </is>
      </c>
      <c r="D37" s="6" t="inlineStr">
        <is>
          <t>Países Bajos</t>
        </is>
      </c>
      <c r="E37" s="7" t="n"/>
      <c r="F37" s="7" t="n"/>
      <c r="G37" s="7" t="n"/>
      <c r="H37" s="7" t="n"/>
      <c r="I37" s="8">
        <f>IF(OR(G37="",H37="",E37="",F37=""),0,IF(AND(E37=G37,F37=H37),3,IF(SIGN(E37-F37)=SIGN(G37-H37),1,0)))</f>
        <v/>
      </c>
    </row>
    <row r="38">
      <c r="A38" s="6" t="n">
        <v>37</v>
      </c>
      <c r="B38" s="6" t="inlineStr">
        <is>
          <t>G</t>
        </is>
      </c>
      <c r="C38" s="6" t="inlineStr">
        <is>
          <t>Bélgica</t>
        </is>
      </c>
      <c r="D38" s="6" t="inlineStr">
        <is>
          <t>Egipto</t>
        </is>
      </c>
      <c r="E38" s="7" t="n"/>
      <c r="F38" s="7" t="n"/>
      <c r="G38" s="7" t="n"/>
      <c r="H38" s="7" t="n"/>
      <c r="I38" s="8">
        <f>IF(OR(G38="",H38="",E38="",F38=""),0,IF(AND(E38=G38,F38=H38),3,IF(SIGN(E38-F38)=SIGN(G38-H38),1,0)))</f>
        <v/>
      </c>
    </row>
    <row r="39">
      <c r="A39" s="6" t="n">
        <v>38</v>
      </c>
      <c r="B39" s="6" t="inlineStr">
        <is>
          <t>G</t>
        </is>
      </c>
      <c r="C39" s="6" t="inlineStr">
        <is>
          <t>Irán</t>
        </is>
      </c>
      <c r="D39" s="6" t="inlineStr">
        <is>
          <t>Nueva Zelanda</t>
        </is>
      </c>
      <c r="E39" s="7" t="n"/>
      <c r="F39" s="7" t="n"/>
      <c r="G39" s="7" t="n"/>
      <c r="H39" s="7" t="n"/>
      <c r="I39" s="8">
        <f>IF(OR(G39="",H39="",E39="",F39=""),0,IF(AND(E39=G39,F39=H39),3,IF(SIGN(E39-F39)=SIGN(G39-H39),1,0)))</f>
        <v/>
      </c>
    </row>
    <row r="40">
      <c r="A40" s="6" t="n">
        <v>39</v>
      </c>
      <c r="B40" s="6" t="inlineStr">
        <is>
          <t>G</t>
        </is>
      </c>
      <c r="C40" s="6" t="inlineStr">
        <is>
          <t>Bélgica</t>
        </is>
      </c>
      <c r="D40" s="6" t="inlineStr">
        <is>
          <t>Irán</t>
        </is>
      </c>
      <c r="E40" s="7" t="n"/>
      <c r="F40" s="7" t="n"/>
      <c r="G40" s="7" t="n"/>
      <c r="H40" s="7" t="n"/>
      <c r="I40" s="8">
        <f>IF(OR(G40="",H40="",E40="",F40=""),0,IF(AND(E40=G40,F40=H40),3,IF(SIGN(E40-F40)=SIGN(G40-H40),1,0)))</f>
        <v/>
      </c>
    </row>
    <row r="41">
      <c r="A41" s="6" t="n">
        <v>40</v>
      </c>
      <c r="B41" s="6" t="inlineStr">
        <is>
          <t>G</t>
        </is>
      </c>
      <c r="C41" s="6" t="inlineStr">
        <is>
          <t>Nueva Zelanda</t>
        </is>
      </c>
      <c r="D41" s="6" t="inlineStr">
        <is>
          <t>Egipto</t>
        </is>
      </c>
      <c r="E41" s="7" t="n"/>
      <c r="F41" s="7" t="n"/>
      <c r="G41" s="7" t="n"/>
      <c r="H41" s="7" t="n"/>
      <c r="I41" s="8">
        <f>IF(OR(G41="",H41="",E41="",F41=""),0,IF(AND(E41=G41,F41=H41),3,IF(SIGN(E41-F41)=SIGN(G41-H41),1,0)))</f>
        <v/>
      </c>
    </row>
    <row r="42">
      <c r="A42" s="6" t="n">
        <v>41</v>
      </c>
      <c r="B42" s="6" t="inlineStr">
        <is>
          <t>G</t>
        </is>
      </c>
      <c r="C42" s="6" t="inlineStr">
        <is>
          <t>Egipto</t>
        </is>
      </c>
      <c r="D42" s="6" t="inlineStr">
        <is>
          <t>Irán</t>
        </is>
      </c>
      <c r="E42" s="7" t="n"/>
      <c r="F42" s="7" t="n"/>
      <c r="G42" s="7" t="n"/>
      <c r="H42" s="7" t="n"/>
      <c r="I42" s="8">
        <f>IF(OR(G42="",H42="",E42="",F42=""),0,IF(AND(E42=G42,F42=H42),3,IF(SIGN(E42-F42)=SIGN(G42-H42),1,0)))</f>
        <v/>
      </c>
    </row>
    <row r="43">
      <c r="A43" s="6" t="n">
        <v>42</v>
      </c>
      <c r="B43" s="6" t="inlineStr">
        <is>
          <t>G</t>
        </is>
      </c>
      <c r="C43" s="6" t="inlineStr">
        <is>
          <t>Nueva Zelanda</t>
        </is>
      </c>
      <c r="D43" s="6" t="inlineStr">
        <is>
          <t>Bélgica</t>
        </is>
      </c>
      <c r="E43" s="7" t="n"/>
      <c r="F43" s="7" t="n"/>
      <c r="G43" s="7" t="n"/>
      <c r="H43" s="7" t="n"/>
      <c r="I43" s="8">
        <f>IF(OR(G43="",H43="",E43="",F43=""),0,IF(AND(E43=G43,F43=H43),3,IF(SIGN(E43-F43)=SIGN(G43-H43),1,0)))</f>
        <v/>
      </c>
    </row>
    <row r="44">
      <c r="A44" s="6" t="n">
        <v>43</v>
      </c>
      <c r="B44" s="6" t="inlineStr">
        <is>
          <t>H</t>
        </is>
      </c>
      <c r="C44" s="6" t="inlineStr">
        <is>
          <t>España</t>
        </is>
      </c>
      <c r="D44" s="6" t="inlineStr">
        <is>
          <t>Cabo Verde</t>
        </is>
      </c>
      <c r="E44" s="7" t="n"/>
      <c r="F44" s="7" t="n"/>
      <c r="G44" s="7" t="n"/>
      <c r="H44" s="7" t="n"/>
      <c r="I44" s="8">
        <f>IF(OR(G44="",H44="",E44="",F44=""),0,IF(AND(E44=G44,F44=H44),3,IF(SIGN(E44-F44)=SIGN(G44-H44),1,0)))</f>
        <v/>
      </c>
    </row>
    <row r="45">
      <c r="A45" s="6" t="n">
        <v>44</v>
      </c>
      <c r="B45" s="6" t="inlineStr">
        <is>
          <t>H</t>
        </is>
      </c>
      <c r="C45" s="6" t="inlineStr">
        <is>
          <t>Arabia Saudita</t>
        </is>
      </c>
      <c r="D45" s="6" t="inlineStr">
        <is>
          <t>Uruguay</t>
        </is>
      </c>
      <c r="E45" s="7" t="n"/>
      <c r="F45" s="7" t="n"/>
      <c r="G45" s="7" t="n"/>
      <c r="H45" s="7" t="n"/>
      <c r="I45" s="8">
        <f>IF(OR(G45="",H45="",E45="",F45=""),0,IF(AND(E45=G45,F45=H45),3,IF(SIGN(E45-F45)=SIGN(G45-H45),1,0)))</f>
        <v/>
      </c>
    </row>
    <row r="46">
      <c r="A46" s="6" t="n">
        <v>45</v>
      </c>
      <c r="B46" s="6" t="inlineStr">
        <is>
          <t>H</t>
        </is>
      </c>
      <c r="C46" s="6" t="inlineStr">
        <is>
          <t>España</t>
        </is>
      </c>
      <c r="D46" s="6" t="inlineStr">
        <is>
          <t>Arabia Saudita</t>
        </is>
      </c>
      <c r="E46" s="7" t="n"/>
      <c r="F46" s="7" t="n"/>
      <c r="G46" s="7" t="n"/>
      <c r="H46" s="7" t="n"/>
      <c r="I46" s="8">
        <f>IF(OR(G46="",H46="",E46="",F46=""),0,IF(AND(E46=G46,F46=H46),3,IF(SIGN(E46-F46)=SIGN(G46-H46),1,0)))</f>
        <v/>
      </c>
    </row>
    <row r="47">
      <c r="A47" s="6" t="n">
        <v>46</v>
      </c>
      <c r="B47" s="6" t="inlineStr">
        <is>
          <t>H</t>
        </is>
      </c>
      <c r="C47" s="6" t="inlineStr">
        <is>
          <t>Uruguay</t>
        </is>
      </c>
      <c r="D47" s="6" t="inlineStr">
        <is>
          <t>Cabo Verde</t>
        </is>
      </c>
      <c r="E47" s="7" t="n"/>
      <c r="F47" s="7" t="n"/>
      <c r="G47" s="7" t="n"/>
      <c r="H47" s="7" t="n"/>
      <c r="I47" s="8">
        <f>IF(OR(G47="",H47="",E47="",F47=""),0,IF(AND(E47=G47,F47=H47),3,IF(SIGN(E47-F47)=SIGN(G47-H47),1,0)))</f>
        <v/>
      </c>
    </row>
    <row r="48">
      <c r="A48" s="6" t="n">
        <v>47</v>
      </c>
      <c r="B48" s="6" t="inlineStr">
        <is>
          <t>H</t>
        </is>
      </c>
      <c r="C48" s="6" t="inlineStr">
        <is>
          <t>Cabo Verde</t>
        </is>
      </c>
      <c r="D48" s="6" t="inlineStr">
        <is>
          <t>Arabia Saudita</t>
        </is>
      </c>
      <c r="E48" s="7" t="n"/>
      <c r="F48" s="7" t="n"/>
      <c r="G48" s="7" t="n"/>
      <c r="H48" s="7" t="n"/>
      <c r="I48" s="8">
        <f>IF(OR(G48="",H48="",E48="",F48=""),0,IF(AND(E48=G48,F48=H48),3,IF(SIGN(E48-F48)=SIGN(G48-H48),1,0)))</f>
        <v/>
      </c>
    </row>
    <row r="49">
      <c r="A49" s="6" t="n">
        <v>48</v>
      </c>
      <c r="B49" s="6" t="inlineStr">
        <is>
          <t>H</t>
        </is>
      </c>
      <c r="C49" s="6" t="inlineStr">
        <is>
          <t>Uruguay</t>
        </is>
      </c>
      <c r="D49" s="6" t="inlineStr">
        <is>
          <t>España</t>
        </is>
      </c>
      <c r="E49" s="7" t="n"/>
      <c r="F49" s="7" t="n"/>
      <c r="G49" s="7" t="n"/>
      <c r="H49" s="7" t="n"/>
      <c r="I49" s="8">
        <f>IF(OR(G49="",H49="",E49="",F49=""),0,IF(AND(E49=G49,F49=H49),3,IF(SIGN(E49-F49)=SIGN(G49-H49),1,0)))</f>
        <v/>
      </c>
    </row>
    <row r="50">
      <c r="A50" s="6" t="n">
        <v>49</v>
      </c>
      <c r="B50" s="6" t="inlineStr">
        <is>
          <t>I</t>
        </is>
      </c>
      <c r="C50" s="6" t="inlineStr">
        <is>
          <t>Francia</t>
        </is>
      </c>
      <c r="D50" s="6" t="inlineStr">
        <is>
          <t>Senegal</t>
        </is>
      </c>
      <c r="E50" s="7" t="n"/>
      <c r="F50" s="7" t="n"/>
      <c r="G50" s="7" t="n"/>
      <c r="H50" s="7" t="n"/>
      <c r="I50" s="8">
        <f>IF(OR(G50="",H50="",E50="",F50=""),0,IF(AND(E50=G50,F50=H50),3,IF(SIGN(E50-F50)=SIGN(G50-H50),1,0)))</f>
        <v/>
      </c>
    </row>
    <row r="51">
      <c r="A51" s="6" t="n">
        <v>50</v>
      </c>
      <c r="B51" s="6" t="inlineStr">
        <is>
          <t>I</t>
        </is>
      </c>
      <c r="C51" s="6" t="inlineStr">
        <is>
          <t>Irak</t>
        </is>
      </c>
      <c r="D51" s="6" t="inlineStr">
        <is>
          <t>Noruega</t>
        </is>
      </c>
      <c r="E51" s="7" t="n"/>
      <c r="F51" s="7" t="n"/>
      <c r="G51" s="7" t="n"/>
      <c r="H51" s="7" t="n"/>
      <c r="I51" s="8">
        <f>IF(OR(G51="",H51="",E51="",F51=""),0,IF(AND(E51=G51,F51=H51),3,IF(SIGN(E51-F51)=SIGN(G51-H51),1,0)))</f>
        <v/>
      </c>
    </row>
    <row r="52">
      <c r="A52" s="6" t="n">
        <v>51</v>
      </c>
      <c r="B52" s="6" t="inlineStr">
        <is>
          <t>I</t>
        </is>
      </c>
      <c r="C52" s="6" t="inlineStr">
        <is>
          <t>Francia</t>
        </is>
      </c>
      <c r="D52" s="6" t="inlineStr">
        <is>
          <t>Irak</t>
        </is>
      </c>
      <c r="E52" s="7" t="n"/>
      <c r="F52" s="7" t="n"/>
      <c r="G52" s="7" t="n"/>
      <c r="H52" s="7" t="n"/>
      <c r="I52" s="8">
        <f>IF(OR(G52="",H52="",E52="",F52=""),0,IF(AND(E52=G52,F52=H52),3,IF(SIGN(E52-F52)=SIGN(G52-H52),1,0)))</f>
        <v/>
      </c>
    </row>
    <row r="53">
      <c r="A53" s="6" t="n">
        <v>52</v>
      </c>
      <c r="B53" s="6" t="inlineStr">
        <is>
          <t>I</t>
        </is>
      </c>
      <c r="C53" s="6" t="inlineStr">
        <is>
          <t>Noruega</t>
        </is>
      </c>
      <c r="D53" s="6" t="inlineStr">
        <is>
          <t>Senegal</t>
        </is>
      </c>
      <c r="E53" s="7" t="n"/>
      <c r="F53" s="7" t="n"/>
      <c r="G53" s="7" t="n"/>
      <c r="H53" s="7" t="n"/>
      <c r="I53" s="8">
        <f>IF(OR(G53="",H53="",E53="",F53=""),0,IF(AND(E53=G53,F53=H53),3,IF(SIGN(E53-F53)=SIGN(G53-H53),1,0)))</f>
        <v/>
      </c>
    </row>
    <row r="54">
      <c r="A54" s="6" t="n">
        <v>53</v>
      </c>
      <c r="B54" s="6" t="inlineStr">
        <is>
          <t>I</t>
        </is>
      </c>
      <c r="C54" s="6" t="inlineStr">
        <is>
          <t>Noruega</t>
        </is>
      </c>
      <c r="D54" s="6" t="inlineStr">
        <is>
          <t>Francia</t>
        </is>
      </c>
      <c r="E54" s="7" t="n"/>
      <c r="F54" s="7" t="n"/>
      <c r="G54" s="7" t="n"/>
      <c r="H54" s="7" t="n"/>
      <c r="I54" s="8">
        <f>IF(OR(G54="",H54="",E54="",F54=""),0,IF(AND(E54=G54,F54=H54),3,IF(SIGN(E54-F54)=SIGN(G54-H54),1,0)))</f>
        <v/>
      </c>
    </row>
    <row r="55">
      <c r="A55" s="6" t="n">
        <v>54</v>
      </c>
      <c r="B55" s="6" t="inlineStr">
        <is>
          <t>I</t>
        </is>
      </c>
      <c r="C55" s="6" t="inlineStr">
        <is>
          <t>Senegal</t>
        </is>
      </c>
      <c r="D55" s="6" t="inlineStr">
        <is>
          <t>Irak</t>
        </is>
      </c>
      <c r="E55" s="7" t="n"/>
      <c r="F55" s="7" t="n"/>
      <c r="G55" s="7" t="n"/>
      <c r="H55" s="7" t="n"/>
      <c r="I55" s="8">
        <f>IF(OR(G55="",H55="",E55="",F55=""),0,IF(AND(E55=G55,F55=H55),3,IF(SIGN(E55-F55)=SIGN(G55-H55),1,0)))</f>
        <v/>
      </c>
    </row>
    <row r="56">
      <c r="A56" s="6" t="n">
        <v>55</v>
      </c>
      <c r="B56" s="6" t="inlineStr">
        <is>
          <t>J</t>
        </is>
      </c>
      <c r="C56" s="6" t="inlineStr">
        <is>
          <t>Argentina</t>
        </is>
      </c>
      <c r="D56" s="6" t="inlineStr">
        <is>
          <t>Argelia</t>
        </is>
      </c>
      <c r="E56" s="7" t="n"/>
      <c r="F56" s="7" t="n"/>
      <c r="G56" s="7" t="n"/>
      <c r="H56" s="7" t="n"/>
      <c r="I56" s="8">
        <f>IF(OR(G56="",H56="",E56="",F56=""),0,IF(AND(E56=G56,F56=H56),3,IF(SIGN(E56-F56)=SIGN(G56-H56),1,0)))</f>
        <v/>
      </c>
    </row>
    <row r="57">
      <c r="A57" s="6" t="n">
        <v>56</v>
      </c>
      <c r="B57" s="6" t="inlineStr">
        <is>
          <t>J</t>
        </is>
      </c>
      <c r="C57" s="6" t="inlineStr">
        <is>
          <t>Austria</t>
        </is>
      </c>
      <c r="D57" s="6" t="inlineStr">
        <is>
          <t>Jordania</t>
        </is>
      </c>
      <c r="E57" s="7" t="n"/>
      <c r="F57" s="7" t="n"/>
      <c r="G57" s="7" t="n"/>
      <c r="H57" s="7" t="n"/>
      <c r="I57" s="8">
        <f>IF(OR(G57="",H57="",E57="",F57=""),0,IF(AND(E57=G57,F57=H57),3,IF(SIGN(E57-F57)=SIGN(G57-H57),1,0)))</f>
        <v/>
      </c>
    </row>
    <row r="58">
      <c r="A58" s="6" t="n">
        <v>57</v>
      </c>
      <c r="B58" s="6" t="inlineStr">
        <is>
          <t>J</t>
        </is>
      </c>
      <c r="C58" s="6" t="inlineStr">
        <is>
          <t>Argentina</t>
        </is>
      </c>
      <c r="D58" s="6" t="inlineStr">
        <is>
          <t>Austria</t>
        </is>
      </c>
      <c r="E58" s="7" t="n"/>
      <c r="F58" s="7" t="n"/>
      <c r="G58" s="7" t="n"/>
      <c r="H58" s="7" t="n"/>
      <c r="I58" s="8">
        <f>IF(OR(G58="",H58="",E58="",F58=""),0,IF(AND(E58=G58,F58=H58),3,IF(SIGN(E58-F58)=SIGN(G58-H58),1,0)))</f>
        <v/>
      </c>
    </row>
    <row r="59">
      <c r="A59" s="6" t="n">
        <v>58</v>
      </c>
      <c r="B59" s="6" t="inlineStr">
        <is>
          <t>J</t>
        </is>
      </c>
      <c r="C59" s="6" t="inlineStr">
        <is>
          <t>Jordania</t>
        </is>
      </c>
      <c r="D59" s="6" t="inlineStr">
        <is>
          <t>Argelia</t>
        </is>
      </c>
      <c r="E59" s="7" t="n"/>
      <c r="F59" s="7" t="n"/>
      <c r="G59" s="7" t="n"/>
      <c r="H59" s="7" t="n"/>
      <c r="I59" s="8">
        <f>IF(OR(G59="",H59="",E59="",F59=""),0,IF(AND(E59=G59,F59=H59),3,IF(SIGN(E59-F59)=SIGN(G59-H59),1,0)))</f>
        <v/>
      </c>
    </row>
    <row r="60">
      <c r="A60" s="6" t="n">
        <v>59</v>
      </c>
      <c r="B60" s="6" t="inlineStr">
        <is>
          <t>J</t>
        </is>
      </c>
      <c r="C60" s="6" t="inlineStr">
        <is>
          <t>Argelia</t>
        </is>
      </c>
      <c r="D60" s="6" t="inlineStr">
        <is>
          <t>Austria</t>
        </is>
      </c>
      <c r="E60" s="7" t="n"/>
      <c r="F60" s="7" t="n"/>
      <c r="G60" s="7" t="n"/>
      <c r="H60" s="7" t="n"/>
      <c r="I60" s="8">
        <f>IF(OR(G60="",H60="",E60="",F60=""),0,IF(AND(E60=G60,F60=H60),3,IF(SIGN(E60-F60)=SIGN(G60-H60),1,0)))</f>
        <v/>
      </c>
    </row>
    <row r="61">
      <c r="A61" s="6" t="n">
        <v>60</v>
      </c>
      <c r="B61" s="6" t="inlineStr">
        <is>
          <t>J</t>
        </is>
      </c>
      <c r="C61" s="6" t="inlineStr">
        <is>
          <t>Jordania</t>
        </is>
      </c>
      <c r="D61" s="6" t="inlineStr">
        <is>
          <t>Argentina</t>
        </is>
      </c>
      <c r="E61" s="7" t="n"/>
      <c r="F61" s="7" t="n"/>
      <c r="G61" s="7" t="n"/>
      <c r="H61" s="7" t="n"/>
      <c r="I61" s="8">
        <f>IF(OR(G61="",H61="",E61="",F61=""),0,IF(AND(E61=G61,F61=H61),3,IF(SIGN(E61-F61)=SIGN(G61-H61),1,0)))</f>
        <v/>
      </c>
    </row>
    <row r="62">
      <c r="A62" s="6" t="n">
        <v>61</v>
      </c>
      <c r="B62" s="6" t="inlineStr">
        <is>
          <t>K</t>
        </is>
      </c>
      <c r="C62" s="6" t="inlineStr">
        <is>
          <t>Portugal</t>
        </is>
      </c>
      <c r="D62" s="6" t="inlineStr">
        <is>
          <t>R.D. del Congo</t>
        </is>
      </c>
      <c r="E62" s="7" t="n"/>
      <c r="F62" s="7" t="n"/>
      <c r="G62" s="7" t="n"/>
      <c r="H62" s="7" t="n"/>
      <c r="I62" s="8">
        <f>IF(OR(G62="",H62="",E62="",F62=""),0,IF(AND(E62=G62,F62=H62),3,IF(SIGN(E62-F62)=SIGN(G62-H62),1,0)))</f>
        <v/>
      </c>
    </row>
    <row r="63">
      <c r="A63" s="6" t="n">
        <v>62</v>
      </c>
      <c r="B63" s="6" t="inlineStr">
        <is>
          <t>K</t>
        </is>
      </c>
      <c r="C63" s="6" t="inlineStr">
        <is>
          <t>Uzbekistán</t>
        </is>
      </c>
      <c r="D63" s="6" t="inlineStr">
        <is>
          <t>Colombia</t>
        </is>
      </c>
      <c r="E63" s="7" t="n"/>
      <c r="F63" s="7" t="n"/>
      <c r="G63" s="7" t="n"/>
      <c r="H63" s="7" t="n"/>
      <c r="I63" s="8">
        <f>IF(OR(G63="",H63="",E63="",F63=""),0,IF(AND(E63=G63,F63=H63),3,IF(SIGN(E63-F63)=SIGN(G63-H63),1,0)))</f>
        <v/>
      </c>
    </row>
    <row r="64">
      <c r="A64" s="6" t="n">
        <v>63</v>
      </c>
      <c r="B64" s="6" t="inlineStr">
        <is>
          <t>K</t>
        </is>
      </c>
      <c r="C64" s="6" t="inlineStr">
        <is>
          <t>Portugal</t>
        </is>
      </c>
      <c r="D64" s="6" t="inlineStr">
        <is>
          <t>Uzbekistán</t>
        </is>
      </c>
      <c r="E64" s="7" t="n"/>
      <c r="F64" s="7" t="n"/>
      <c r="G64" s="7" t="n"/>
      <c r="H64" s="7" t="n"/>
      <c r="I64" s="8">
        <f>IF(OR(G64="",H64="",E64="",F64=""),0,IF(AND(E64=G64,F64=H64),3,IF(SIGN(E64-F64)=SIGN(G64-H64),1,0)))</f>
        <v/>
      </c>
    </row>
    <row r="65">
      <c r="A65" s="6" t="n">
        <v>64</v>
      </c>
      <c r="B65" s="6" t="inlineStr">
        <is>
          <t>K</t>
        </is>
      </c>
      <c r="C65" s="6" t="inlineStr">
        <is>
          <t>Colombia</t>
        </is>
      </c>
      <c r="D65" s="6" t="inlineStr">
        <is>
          <t>R.D. del Congo</t>
        </is>
      </c>
      <c r="E65" s="7" t="n"/>
      <c r="F65" s="7" t="n"/>
      <c r="G65" s="7" t="n"/>
      <c r="H65" s="7" t="n"/>
      <c r="I65" s="8">
        <f>IF(OR(G65="",H65="",E65="",F65=""),0,IF(AND(E65=G65,F65=H65),3,IF(SIGN(E65-F65)=SIGN(G65-H65),1,0)))</f>
        <v/>
      </c>
    </row>
    <row r="66">
      <c r="A66" s="6" t="n">
        <v>65</v>
      </c>
      <c r="B66" s="6" t="inlineStr">
        <is>
          <t>K</t>
        </is>
      </c>
      <c r="C66" s="6" t="inlineStr">
        <is>
          <t>Colombia</t>
        </is>
      </c>
      <c r="D66" s="6" t="inlineStr">
        <is>
          <t>Portugal</t>
        </is>
      </c>
      <c r="E66" s="7" t="n"/>
      <c r="F66" s="7" t="n"/>
      <c r="G66" s="7" t="n"/>
      <c r="H66" s="7" t="n"/>
      <c r="I66" s="8">
        <f>IF(OR(G66="",H66="",E66="",F66=""),0,IF(AND(E66=G66,F66=H66),3,IF(SIGN(E66-F66)=SIGN(G66-H66),1,0)))</f>
        <v/>
      </c>
    </row>
    <row r="67">
      <c r="A67" s="6" t="n">
        <v>66</v>
      </c>
      <c r="B67" s="6" t="inlineStr">
        <is>
          <t>K</t>
        </is>
      </c>
      <c r="C67" s="6" t="inlineStr">
        <is>
          <t>R.D. del Congo</t>
        </is>
      </c>
      <c r="D67" s="6" t="inlineStr">
        <is>
          <t>Uzbekistán</t>
        </is>
      </c>
      <c r="E67" s="7" t="n"/>
      <c r="F67" s="7" t="n"/>
      <c r="G67" s="7" t="n"/>
      <c r="H67" s="7" t="n"/>
      <c r="I67" s="8">
        <f>IF(OR(G67="",H67="",E67="",F67=""),0,IF(AND(E67=G67,F67=H67),3,IF(SIGN(E67-F67)=SIGN(G67-H67),1,0)))</f>
        <v/>
      </c>
    </row>
    <row r="68">
      <c r="A68" s="6" t="n">
        <v>67</v>
      </c>
      <c r="B68" s="6" t="inlineStr">
        <is>
          <t>L</t>
        </is>
      </c>
      <c r="C68" s="6" t="inlineStr">
        <is>
          <t>Inglaterra</t>
        </is>
      </c>
      <c r="D68" s="6" t="inlineStr">
        <is>
          <t>Croacia</t>
        </is>
      </c>
      <c r="E68" s="7" t="n"/>
      <c r="F68" s="7" t="n"/>
      <c r="G68" s="7" t="n"/>
      <c r="H68" s="7" t="n"/>
      <c r="I68" s="8">
        <f>IF(OR(G68="",H68="",E68="",F68=""),0,IF(AND(E68=G68,F68=H68),3,IF(SIGN(E68-F68)=SIGN(G68-H68),1,0)))</f>
        <v/>
      </c>
    </row>
    <row r="69">
      <c r="A69" s="6" t="n">
        <v>68</v>
      </c>
      <c r="B69" s="6" t="inlineStr">
        <is>
          <t>L</t>
        </is>
      </c>
      <c r="C69" s="6" t="inlineStr">
        <is>
          <t>Ghana</t>
        </is>
      </c>
      <c r="D69" s="6" t="inlineStr">
        <is>
          <t>Panamá</t>
        </is>
      </c>
      <c r="E69" s="7" t="n"/>
      <c r="F69" s="7" t="n"/>
      <c r="G69" s="7" t="n"/>
      <c r="H69" s="7" t="n"/>
      <c r="I69" s="8">
        <f>IF(OR(G69="",H69="",E69="",F69=""),0,IF(AND(E69=G69,F69=H69),3,IF(SIGN(E69-F69)=SIGN(G69-H69),1,0)))</f>
        <v/>
      </c>
    </row>
    <row r="70">
      <c r="A70" s="6" t="n">
        <v>69</v>
      </c>
      <c r="B70" s="6" t="inlineStr">
        <is>
          <t>L</t>
        </is>
      </c>
      <c r="C70" s="6" t="inlineStr">
        <is>
          <t>Inglaterra</t>
        </is>
      </c>
      <c r="D70" s="6" t="inlineStr">
        <is>
          <t>Ghana</t>
        </is>
      </c>
      <c r="E70" s="7" t="n"/>
      <c r="F70" s="7" t="n"/>
      <c r="G70" s="7" t="n"/>
      <c r="H70" s="7" t="n"/>
      <c r="I70" s="8">
        <f>IF(OR(G70="",H70="",E70="",F70=""),0,IF(AND(E70=G70,F70=H70),3,IF(SIGN(E70-F70)=SIGN(G70-H70),1,0)))</f>
        <v/>
      </c>
    </row>
    <row r="71">
      <c r="A71" s="6" t="n">
        <v>70</v>
      </c>
      <c r="B71" s="6" t="inlineStr">
        <is>
          <t>L</t>
        </is>
      </c>
      <c r="C71" s="6" t="inlineStr">
        <is>
          <t>Panamá</t>
        </is>
      </c>
      <c r="D71" s="6" t="inlineStr">
        <is>
          <t>Croacia</t>
        </is>
      </c>
      <c r="E71" s="7" t="n"/>
      <c r="F71" s="7" t="n"/>
      <c r="G71" s="7" t="n"/>
      <c r="H71" s="7" t="n"/>
      <c r="I71" s="8">
        <f>IF(OR(G71="",H71="",E71="",F71=""),0,IF(AND(E71=G71,F71=H71),3,IF(SIGN(E71-F71)=SIGN(G71-H71),1,0)))</f>
        <v/>
      </c>
    </row>
    <row r="72">
      <c r="A72" s="6" t="n">
        <v>71</v>
      </c>
      <c r="B72" s="6" t="inlineStr">
        <is>
          <t>L</t>
        </is>
      </c>
      <c r="C72" s="6" t="inlineStr">
        <is>
          <t>Panamá</t>
        </is>
      </c>
      <c r="D72" s="6" t="inlineStr">
        <is>
          <t>Inglaterra</t>
        </is>
      </c>
      <c r="E72" s="7" t="n"/>
      <c r="F72" s="7" t="n"/>
      <c r="G72" s="7" t="n"/>
      <c r="H72" s="7" t="n"/>
      <c r="I72" s="8">
        <f>IF(OR(G72="",H72="",E72="",F72=""),0,IF(AND(E72=G72,F72=H72),3,IF(SIGN(E72-F72)=SIGN(G72-H72),1,0)))</f>
        <v/>
      </c>
    </row>
    <row r="73">
      <c r="A73" s="6" t="n">
        <v>72</v>
      </c>
      <c r="B73" s="6" t="inlineStr">
        <is>
          <t>L</t>
        </is>
      </c>
      <c r="C73" s="6" t="inlineStr">
        <is>
          <t>Croacia</t>
        </is>
      </c>
      <c r="D73" s="6" t="inlineStr">
        <is>
          <t>Ghana</t>
        </is>
      </c>
      <c r="E73" s="7" t="n"/>
      <c r="F73" s="7" t="n"/>
      <c r="G73" s="7" t="n"/>
      <c r="H73" s="7" t="n"/>
      <c r="I73" s="8">
        <f>IF(OR(G73="",H73="",E73="",F73=""),0,IF(AND(E73=G73,F73=H73),3,IF(SIGN(E73-F73)=SIGN(G73-H73),1,0)))</f>
        <v/>
      </c>
    </row>
    <row r="74">
      <c r="A74" s="9" t="inlineStr"/>
      <c r="B74" s="9" t="inlineStr"/>
      <c r="C74" s="9" t="inlineStr"/>
      <c r="D74" s="9" t="inlineStr"/>
      <c r="E74" s="9" t="inlineStr"/>
      <c r="F74" s="9" t="inlineStr"/>
      <c r="G74" s="9" t="inlineStr"/>
      <c r="H74" s="9" t="inlineStr">
        <is>
          <t>TOTAL GRUPOS</t>
        </is>
      </c>
      <c r="I74" s="9">
        <f>SUM(I2:I73)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15" customWidth="1" min="9" max="9"/>
    <col width="1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14" customWidth="1" min="16" max="16"/>
    <col width="22" customWidth="1" min="17" max="17"/>
    <col width="22" customWidth="1" min="18" max="18"/>
    <col width="10" customWidth="1" min="19" max="19"/>
    <col width="12" customWidth="1" min="20" max="20"/>
    <col width="22" customWidth="1" min="21" max="21"/>
    <col width="22" customWidth="1" min="22" max="22"/>
    <col width="10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</cols>
  <sheetData>
    <row r="1">
      <c r="A1" s="10" t="inlineStr"/>
      <c r="B1" s="5" t="inlineStr">
        <is>
          <t>Equipo</t>
        </is>
      </c>
      <c r="C1" s="5" t="inlineStr">
        <is>
          <t>J</t>
        </is>
      </c>
      <c r="D1" s="5" t="inlineStr">
        <is>
          <t>G</t>
        </is>
      </c>
      <c r="E1" s="5" t="inlineStr">
        <is>
          <t>E</t>
        </is>
      </c>
      <c r="F1" s="5" t="inlineStr">
        <is>
          <t>P</t>
        </is>
      </c>
      <c r="G1" s="5" t="inlineStr">
        <is>
          <t>GF</t>
        </is>
      </c>
      <c r="H1" s="5" t="inlineStr">
        <is>
          <t>GC</t>
        </is>
      </c>
      <c r="I1" s="5" t="inlineStr">
        <is>
          <t>DG</t>
        </is>
      </c>
      <c r="J1" s="5" t="inlineStr">
        <is>
          <t>Pts</t>
        </is>
      </c>
      <c r="K1" s="5" t="inlineStr">
        <is>
          <t>OrdenReal</t>
        </is>
      </c>
      <c r="L1" s="5" t="inlineStr">
        <is>
          <t>PosReal</t>
        </is>
      </c>
      <c r="M1" s="5" t="inlineStr">
        <is>
          <t>J</t>
        </is>
      </c>
      <c r="N1" s="5" t="inlineStr">
        <is>
          <t>G</t>
        </is>
      </c>
      <c r="O1" s="5" t="inlineStr">
        <is>
          <t>E</t>
        </is>
      </c>
      <c r="P1" s="5" t="inlineStr">
        <is>
          <t>P</t>
        </is>
      </c>
      <c r="Q1" s="5" t="inlineStr">
        <is>
          <t>GF</t>
        </is>
      </c>
      <c r="R1" s="5" t="inlineStr">
        <is>
          <t>GC</t>
        </is>
      </c>
      <c r="S1" s="5" t="inlineStr">
        <is>
          <t>DG</t>
        </is>
      </c>
      <c r="T1" s="5" t="inlineStr">
        <is>
          <t>Pts</t>
        </is>
      </c>
      <c r="U1" s="5" t="inlineStr">
        <is>
          <t>OrdenPron</t>
        </is>
      </c>
      <c r="V1" s="5" t="inlineStr">
        <is>
          <t>PosPron</t>
        </is>
      </c>
      <c r="W1" s="5" t="inlineStr">
        <is>
          <t>Posicion</t>
        </is>
      </c>
      <c r="X1" s="5" t="inlineStr">
        <is>
          <t>EquipoReal(pos)</t>
        </is>
      </c>
      <c r="Y1" s="5" t="inlineStr">
        <is>
          <t>EquipoPron(pos)</t>
        </is>
      </c>
      <c r="Z1" s="5" t="inlineStr">
        <is>
          <t>PtsPosicion</t>
        </is>
      </c>
      <c r="AA1" s="5" t="inlineStr">
        <is>
          <t>PtsReal(pos)</t>
        </is>
      </c>
      <c r="AB1" s="5" t="inlineStr">
        <is>
          <t>DGReal(pos)</t>
        </is>
      </c>
      <c r="AC1" s="5" t="inlineStr">
        <is>
          <t>GFReal(pos)</t>
        </is>
      </c>
      <c r="AD1" s="5" t="inlineStr">
        <is>
          <t>PtsPron(pos)</t>
        </is>
      </c>
      <c r="AE1" s="5" t="inlineStr">
        <is>
          <t>DGPron(pos)</t>
        </is>
      </c>
      <c r="AF1" s="5" t="inlineStr">
        <is>
          <t>GFPron(pos)</t>
        </is>
      </c>
    </row>
    <row r="2">
      <c r="A2" s="6" t="inlineStr">
        <is>
          <t>A</t>
        </is>
      </c>
      <c r="B2" s="6" t="inlineStr">
        <is>
          <t>México</t>
        </is>
      </c>
      <c r="C2" s="6">
        <f>SUMPRODUCT((Grupos!$B$2:$B$73=$A2)*((Grupos!$C$2:$C$73=$B2)+(Grupos!$D$2:$D$73=$B2))*(Grupos!$G$2:$G$73&lt;&gt;""))</f>
        <v/>
      </c>
      <c r="D2" s="6">
        <f>SUMPRODUCT((Grupos!$B$2:$B$73=$A2)*(Grupos!$C$2:$C$73=$B2)*(Grupos!$G$2:$G$73&gt;Grupos!$H$2:$H$73))+SUMPRODUCT((Grupos!$B$2:$B$73=$A2)*(Grupos!$D$2:$D$73=$B2)*(Grupos!$H$2:$H$73&gt;Grupos!$G$2:$G$73))</f>
        <v/>
      </c>
      <c r="E2" s="6">
        <f>SUMPRODUCT((Grupos!$B$2:$B$73=$A2)*((Grupos!$C$2:$C$73=$B2)+(Grupos!$D$2:$D$73=$B2))*(Grupos!$G$2:$G$73=Grupos!$H$2:$H$73)*(Grupos!$G$2:$G$73&lt;&gt;""))</f>
        <v/>
      </c>
      <c r="F2" s="6">
        <f>C2-D2-E2</f>
        <v/>
      </c>
      <c r="G2" s="6">
        <f>SUMPRODUCT((Grupos!$B$2:$B$73=$A2)*(Grupos!$C$2:$C$73=$B2)*Grupos!$G$2:$G$73)+SUMPRODUCT((Grupos!$B$2:$B$73=$A2)*(Grupos!$D$2:$D$73=$B2)*Grupos!$H$2:$H$73)</f>
        <v/>
      </c>
      <c r="H2" s="6">
        <f>SUMPRODUCT((Grupos!$B$2:$B$73=$A2)*(Grupos!$C$2:$C$73=$B2)*Grupos!$H$2:$H$73)+SUMPRODUCT((Grupos!$B$2:$B$73=$A2)*(Grupos!$D$2:$D$73=$B2)*Grupos!$G$2:$G$73)</f>
        <v/>
      </c>
      <c r="I2" s="6">
        <f>G2-H2</f>
        <v/>
      </c>
      <c r="J2" s="6">
        <f>D2*3+E2</f>
        <v/>
      </c>
      <c r="K2" s="6">
        <f>J2*1000000+I2*1000+G2*10-0</f>
        <v/>
      </c>
      <c r="L2" s="6">
        <f>1+COUNTIF($K$2:$K$5,"&gt;"&amp;K2)</f>
        <v/>
      </c>
      <c r="M2" s="6">
        <f>SUMPRODUCT((Grupos!$B$2:$B$73=$A2)*((Grupos!$C$2:$C$73=$B2)+(Grupos!$D$2:$D$73=$B2))*(Grupos!$E$2:$E$73&lt;&gt;""))</f>
        <v/>
      </c>
      <c r="N2" s="6">
        <f>SUMPRODUCT((Grupos!$B$2:$B$73=$A2)*(Grupos!$C$2:$C$73=$B2)*(Grupos!$E$2:$E$73&gt;Grupos!$F$2:$F$73))+SUMPRODUCT((Grupos!$B$2:$B$73=$A2)*(Grupos!$D$2:$D$73=$B2)*(Grupos!$F$2:$F$73&gt;Grupos!$E$2:$E$73))</f>
        <v/>
      </c>
      <c r="O2" s="6">
        <f>SUMPRODUCT((Grupos!$B$2:$B$73=$A2)*((Grupos!$C$2:$C$73=$B2)+(Grupos!$D$2:$D$73=$B2))*(Grupos!$E$2:$E$73=Grupos!$F$2:$F$73)*(Grupos!$E$2:$E$73&lt;&gt;""))</f>
        <v/>
      </c>
      <c r="P2" s="6">
        <f>M2-N2-O2</f>
        <v/>
      </c>
      <c r="Q2" s="6">
        <f>SUMPRODUCT((Grupos!$B$2:$B$73=$A2)*(Grupos!$C$2:$C$73=$B2)*Grupos!$E$2:$E$73)+SUMPRODUCT((Grupos!$B$2:$B$73=$A2)*(Grupos!$D$2:$D$73=$B2)*Grupos!$F$2:$F$73)</f>
        <v/>
      </c>
      <c r="R2" s="6">
        <f>SUMPRODUCT((Grupos!$B$2:$B$73=$A2)*(Grupos!$C$2:$C$73=$B2)*Grupos!$F$2:$F$73)+SUMPRODUCT((Grupos!$B$2:$B$73=$A2)*(Grupos!$D$2:$D$73=$B2)*Grupos!$E$2:$E$73)</f>
        <v/>
      </c>
      <c r="S2" s="6">
        <f>Q2-R2</f>
        <v/>
      </c>
      <c r="T2" s="6">
        <f>N2*3+O2</f>
        <v/>
      </c>
      <c r="U2" s="6">
        <f>T2*1000000+S2*1000+Q2*10-0</f>
        <v/>
      </c>
      <c r="V2" s="6">
        <f>1+COUNTIF($U$2:$U$5,"&gt;"&amp;U2)</f>
        <v/>
      </c>
      <c r="W2" s="6" t="n">
        <v>1</v>
      </c>
      <c r="X2" s="6">
        <f>INDEX($B$2:$B$5,MATCH(W2,$L$2:$L$5,0))</f>
        <v/>
      </c>
      <c r="Y2" s="6">
        <f>INDEX($B$2:$B$5,MATCH(W2,$V$2:$V$5,0))</f>
        <v/>
      </c>
      <c r="Z2" s="6">
        <f>IF(AND(X2&lt;&gt;"",X2=Y2),1,0)</f>
        <v/>
      </c>
      <c r="AA2" s="6">
        <f>INDEX($J$2:$J$5,MATCH(W2,$L$2:$L$5,0))</f>
        <v/>
      </c>
      <c r="AB2" s="6">
        <f>INDEX($I$2:$I$5,MATCH(W2,$L$2:$L$5,0))</f>
        <v/>
      </c>
      <c r="AC2" s="6">
        <f>INDEX($G$2:$G$5,MATCH(W2,$L$2:$L$5,0))</f>
        <v/>
      </c>
      <c r="AD2" s="6">
        <f>INDEX($T$2:$T$5,MATCH(W2,$V$2:$V$5,0))</f>
        <v/>
      </c>
      <c r="AE2" s="6">
        <f>INDEX($S$2:$S$5,MATCH(W2,$V$2:$V$5,0))</f>
        <v/>
      </c>
      <c r="AF2" s="6">
        <f>INDEX($Q$2:$Q$5,MATCH(W2,$V$2:$V$5,0))</f>
        <v/>
      </c>
    </row>
    <row r="3">
      <c r="A3" s="6" t="inlineStr">
        <is>
          <t>A</t>
        </is>
      </c>
      <c r="B3" s="6" t="inlineStr">
        <is>
          <t>Sudáfrica</t>
        </is>
      </c>
      <c r="C3" s="6">
        <f>SUMPRODUCT((Grupos!$B$2:$B$73=$A3)*((Grupos!$C$2:$C$73=$B3)+(Grupos!$D$2:$D$73=$B3))*(Grupos!$G$2:$G$73&lt;&gt;""))</f>
        <v/>
      </c>
      <c r="D3" s="6">
        <f>SUMPRODUCT((Grupos!$B$2:$B$73=$A3)*(Grupos!$C$2:$C$73=$B3)*(Grupos!$G$2:$G$73&gt;Grupos!$H$2:$H$73))+SUMPRODUCT((Grupos!$B$2:$B$73=$A3)*(Grupos!$D$2:$D$73=$B3)*(Grupos!$H$2:$H$73&gt;Grupos!$G$2:$G$73))</f>
        <v/>
      </c>
      <c r="E3" s="6">
        <f>SUMPRODUCT((Grupos!$B$2:$B$73=$A3)*((Grupos!$C$2:$C$73=$B3)+(Grupos!$D$2:$D$73=$B3))*(Grupos!$G$2:$G$73=Grupos!$H$2:$H$73)*(Grupos!$G$2:$G$73&lt;&gt;""))</f>
        <v/>
      </c>
      <c r="F3" s="6">
        <f>C3-D3-E3</f>
        <v/>
      </c>
      <c r="G3" s="6">
        <f>SUMPRODUCT((Grupos!$B$2:$B$73=$A3)*(Grupos!$C$2:$C$73=$B3)*Grupos!$G$2:$G$73)+SUMPRODUCT((Grupos!$B$2:$B$73=$A3)*(Grupos!$D$2:$D$73=$B3)*Grupos!$H$2:$H$73)</f>
        <v/>
      </c>
      <c r="H3" s="6">
        <f>SUMPRODUCT((Grupos!$B$2:$B$73=$A3)*(Grupos!$C$2:$C$73=$B3)*Grupos!$H$2:$H$73)+SUMPRODUCT((Grupos!$B$2:$B$73=$A3)*(Grupos!$D$2:$D$73=$B3)*Grupos!$G$2:$G$73)</f>
        <v/>
      </c>
      <c r="I3" s="6">
        <f>G3-H3</f>
        <v/>
      </c>
      <c r="J3" s="6">
        <f>D3*3+E3</f>
        <v/>
      </c>
      <c r="K3" s="6">
        <f>J3*1000000+I3*1000+G3*10-1</f>
        <v/>
      </c>
      <c r="L3" s="6">
        <f>1+COUNTIF($K$2:$K$5,"&gt;"&amp;K3)</f>
        <v/>
      </c>
      <c r="M3" s="6">
        <f>SUMPRODUCT((Grupos!$B$2:$B$73=$A3)*((Grupos!$C$2:$C$73=$B3)+(Grupos!$D$2:$D$73=$B3))*(Grupos!$E$2:$E$73&lt;&gt;""))</f>
        <v/>
      </c>
      <c r="N3" s="6">
        <f>SUMPRODUCT((Grupos!$B$2:$B$73=$A3)*(Grupos!$C$2:$C$73=$B3)*(Grupos!$E$2:$E$73&gt;Grupos!$F$2:$F$73))+SUMPRODUCT((Grupos!$B$2:$B$73=$A3)*(Grupos!$D$2:$D$73=$B3)*(Grupos!$F$2:$F$73&gt;Grupos!$E$2:$E$73))</f>
        <v/>
      </c>
      <c r="O3" s="6">
        <f>SUMPRODUCT((Grupos!$B$2:$B$73=$A3)*((Grupos!$C$2:$C$73=$B3)+(Grupos!$D$2:$D$73=$B3))*(Grupos!$E$2:$E$73=Grupos!$F$2:$F$73)*(Grupos!$E$2:$E$73&lt;&gt;""))</f>
        <v/>
      </c>
      <c r="P3" s="6">
        <f>M3-N3-O3</f>
        <v/>
      </c>
      <c r="Q3" s="6">
        <f>SUMPRODUCT((Grupos!$B$2:$B$73=$A3)*(Grupos!$C$2:$C$73=$B3)*Grupos!$E$2:$E$73)+SUMPRODUCT((Grupos!$B$2:$B$73=$A3)*(Grupos!$D$2:$D$73=$B3)*Grupos!$F$2:$F$73)</f>
        <v/>
      </c>
      <c r="R3" s="6">
        <f>SUMPRODUCT((Grupos!$B$2:$B$73=$A3)*(Grupos!$C$2:$C$73=$B3)*Grupos!$F$2:$F$73)+SUMPRODUCT((Grupos!$B$2:$B$73=$A3)*(Grupos!$D$2:$D$73=$B3)*Grupos!$E$2:$E$73)</f>
        <v/>
      </c>
      <c r="S3" s="6">
        <f>Q3-R3</f>
        <v/>
      </c>
      <c r="T3" s="6">
        <f>N3*3+O3</f>
        <v/>
      </c>
      <c r="U3" s="6">
        <f>T3*1000000+S3*1000+Q3*10-1</f>
        <v/>
      </c>
      <c r="V3" s="6">
        <f>1+COUNTIF($U$2:$U$5,"&gt;"&amp;U3)</f>
        <v/>
      </c>
      <c r="W3" s="6" t="n">
        <v>2</v>
      </c>
      <c r="X3" s="6">
        <f>INDEX($B$2:$B$5,MATCH(W3,$L$2:$L$5,0))</f>
        <v/>
      </c>
      <c r="Y3" s="6">
        <f>INDEX($B$2:$B$5,MATCH(W3,$V$2:$V$5,0))</f>
        <v/>
      </c>
      <c r="Z3" s="6">
        <f>IF(AND(X3&lt;&gt;"",X3=Y3),1,0)</f>
        <v/>
      </c>
      <c r="AA3" s="6">
        <f>INDEX($J$2:$J$5,MATCH(W3,$L$2:$L$5,0))</f>
        <v/>
      </c>
      <c r="AB3" s="6">
        <f>INDEX($I$2:$I$5,MATCH(W3,$L$2:$L$5,0))</f>
        <v/>
      </c>
      <c r="AC3" s="6">
        <f>INDEX($G$2:$G$5,MATCH(W3,$L$2:$L$5,0))</f>
        <v/>
      </c>
      <c r="AD3" s="6">
        <f>INDEX($T$2:$T$5,MATCH(W3,$V$2:$V$5,0))</f>
        <v/>
      </c>
      <c r="AE3" s="6">
        <f>INDEX($S$2:$S$5,MATCH(W3,$V$2:$V$5,0))</f>
        <v/>
      </c>
      <c r="AF3" s="6">
        <f>INDEX($Q$2:$Q$5,MATCH(W3,$V$2:$V$5,0))</f>
        <v/>
      </c>
    </row>
    <row r="4">
      <c r="A4" s="6" t="inlineStr">
        <is>
          <t>A</t>
        </is>
      </c>
      <c r="B4" s="6" t="inlineStr">
        <is>
          <t>Corea del Sur</t>
        </is>
      </c>
      <c r="C4" s="6">
        <f>SUMPRODUCT((Grupos!$B$2:$B$73=$A4)*((Grupos!$C$2:$C$73=$B4)+(Grupos!$D$2:$D$73=$B4))*(Grupos!$G$2:$G$73&lt;&gt;""))</f>
        <v/>
      </c>
      <c r="D4" s="6">
        <f>SUMPRODUCT((Grupos!$B$2:$B$73=$A4)*(Grupos!$C$2:$C$73=$B4)*(Grupos!$G$2:$G$73&gt;Grupos!$H$2:$H$73))+SUMPRODUCT((Grupos!$B$2:$B$73=$A4)*(Grupos!$D$2:$D$73=$B4)*(Grupos!$H$2:$H$73&gt;Grupos!$G$2:$G$73))</f>
        <v/>
      </c>
      <c r="E4" s="6">
        <f>SUMPRODUCT((Grupos!$B$2:$B$73=$A4)*((Grupos!$C$2:$C$73=$B4)+(Grupos!$D$2:$D$73=$B4))*(Grupos!$G$2:$G$73=Grupos!$H$2:$H$73)*(Grupos!$G$2:$G$73&lt;&gt;""))</f>
        <v/>
      </c>
      <c r="F4" s="6">
        <f>C4-D4-E4</f>
        <v/>
      </c>
      <c r="G4" s="6">
        <f>SUMPRODUCT((Grupos!$B$2:$B$73=$A4)*(Grupos!$C$2:$C$73=$B4)*Grupos!$G$2:$G$73)+SUMPRODUCT((Grupos!$B$2:$B$73=$A4)*(Grupos!$D$2:$D$73=$B4)*Grupos!$H$2:$H$73)</f>
        <v/>
      </c>
      <c r="H4" s="6">
        <f>SUMPRODUCT((Grupos!$B$2:$B$73=$A4)*(Grupos!$C$2:$C$73=$B4)*Grupos!$H$2:$H$73)+SUMPRODUCT((Grupos!$B$2:$B$73=$A4)*(Grupos!$D$2:$D$73=$B4)*Grupos!$G$2:$G$73)</f>
        <v/>
      </c>
      <c r="I4" s="6">
        <f>G4-H4</f>
        <v/>
      </c>
      <c r="J4" s="6">
        <f>D4*3+E4</f>
        <v/>
      </c>
      <c r="K4" s="6">
        <f>J4*1000000+I4*1000+G4*10-2</f>
        <v/>
      </c>
      <c r="L4" s="6">
        <f>1+COUNTIF($K$2:$K$5,"&gt;"&amp;K4)</f>
        <v/>
      </c>
      <c r="M4" s="6">
        <f>SUMPRODUCT((Grupos!$B$2:$B$73=$A4)*((Grupos!$C$2:$C$73=$B4)+(Grupos!$D$2:$D$73=$B4))*(Grupos!$E$2:$E$73&lt;&gt;""))</f>
        <v/>
      </c>
      <c r="N4" s="6">
        <f>SUMPRODUCT((Grupos!$B$2:$B$73=$A4)*(Grupos!$C$2:$C$73=$B4)*(Grupos!$E$2:$E$73&gt;Grupos!$F$2:$F$73))+SUMPRODUCT((Grupos!$B$2:$B$73=$A4)*(Grupos!$D$2:$D$73=$B4)*(Grupos!$F$2:$F$73&gt;Grupos!$E$2:$E$73))</f>
        <v/>
      </c>
      <c r="O4" s="6">
        <f>SUMPRODUCT((Grupos!$B$2:$B$73=$A4)*((Grupos!$C$2:$C$73=$B4)+(Grupos!$D$2:$D$73=$B4))*(Grupos!$E$2:$E$73=Grupos!$F$2:$F$73)*(Grupos!$E$2:$E$73&lt;&gt;""))</f>
        <v/>
      </c>
      <c r="P4" s="6">
        <f>M4-N4-O4</f>
        <v/>
      </c>
      <c r="Q4" s="6">
        <f>SUMPRODUCT((Grupos!$B$2:$B$73=$A4)*(Grupos!$C$2:$C$73=$B4)*Grupos!$E$2:$E$73)+SUMPRODUCT((Grupos!$B$2:$B$73=$A4)*(Grupos!$D$2:$D$73=$B4)*Grupos!$F$2:$F$73)</f>
        <v/>
      </c>
      <c r="R4" s="6">
        <f>SUMPRODUCT((Grupos!$B$2:$B$73=$A4)*(Grupos!$C$2:$C$73=$B4)*Grupos!$F$2:$F$73)+SUMPRODUCT((Grupos!$B$2:$B$73=$A4)*(Grupos!$D$2:$D$73=$B4)*Grupos!$E$2:$E$73)</f>
        <v/>
      </c>
      <c r="S4" s="6">
        <f>Q4-R4</f>
        <v/>
      </c>
      <c r="T4" s="6">
        <f>N4*3+O4</f>
        <v/>
      </c>
      <c r="U4" s="6">
        <f>T4*1000000+S4*1000+Q4*10-2</f>
        <v/>
      </c>
      <c r="V4" s="6">
        <f>1+COUNTIF($U$2:$U$5,"&gt;"&amp;U4)</f>
        <v/>
      </c>
      <c r="W4" s="6" t="n">
        <v>3</v>
      </c>
      <c r="X4" s="6">
        <f>INDEX($B$2:$B$5,MATCH(W4,$L$2:$L$5,0))</f>
        <v/>
      </c>
      <c r="Y4" s="6">
        <f>INDEX($B$2:$B$5,MATCH(W4,$V$2:$V$5,0))</f>
        <v/>
      </c>
      <c r="Z4" s="6">
        <f>IF(AND(X4&lt;&gt;"",X4=Y4),1,0)</f>
        <v/>
      </c>
      <c r="AA4" s="6">
        <f>INDEX($J$2:$J$5,MATCH(W4,$L$2:$L$5,0))</f>
        <v/>
      </c>
      <c r="AB4" s="6">
        <f>INDEX($I$2:$I$5,MATCH(W4,$L$2:$L$5,0))</f>
        <v/>
      </c>
      <c r="AC4" s="6">
        <f>INDEX($G$2:$G$5,MATCH(W4,$L$2:$L$5,0))</f>
        <v/>
      </c>
      <c r="AD4" s="6">
        <f>INDEX($T$2:$T$5,MATCH(W4,$V$2:$V$5,0))</f>
        <v/>
      </c>
      <c r="AE4" s="6">
        <f>INDEX($S$2:$S$5,MATCH(W4,$V$2:$V$5,0))</f>
        <v/>
      </c>
      <c r="AF4" s="6">
        <f>INDEX($Q$2:$Q$5,MATCH(W4,$V$2:$V$5,0))</f>
        <v/>
      </c>
    </row>
    <row r="5">
      <c r="A5" s="6" t="inlineStr">
        <is>
          <t>A</t>
        </is>
      </c>
      <c r="B5" s="6" t="inlineStr">
        <is>
          <t>República Checa</t>
        </is>
      </c>
      <c r="C5" s="6">
        <f>SUMPRODUCT((Grupos!$B$2:$B$73=$A5)*((Grupos!$C$2:$C$73=$B5)+(Grupos!$D$2:$D$73=$B5))*(Grupos!$G$2:$G$73&lt;&gt;""))</f>
        <v/>
      </c>
      <c r="D5" s="6">
        <f>SUMPRODUCT((Grupos!$B$2:$B$73=$A5)*(Grupos!$C$2:$C$73=$B5)*(Grupos!$G$2:$G$73&gt;Grupos!$H$2:$H$73))+SUMPRODUCT((Grupos!$B$2:$B$73=$A5)*(Grupos!$D$2:$D$73=$B5)*(Grupos!$H$2:$H$73&gt;Grupos!$G$2:$G$73))</f>
        <v/>
      </c>
      <c r="E5" s="6">
        <f>SUMPRODUCT((Grupos!$B$2:$B$73=$A5)*((Grupos!$C$2:$C$73=$B5)+(Grupos!$D$2:$D$73=$B5))*(Grupos!$G$2:$G$73=Grupos!$H$2:$H$73)*(Grupos!$G$2:$G$73&lt;&gt;""))</f>
        <v/>
      </c>
      <c r="F5" s="6">
        <f>C5-D5-E5</f>
        <v/>
      </c>
      <c r="G5" s="6">
        <f>SUMPRODUCT((Grupos!$B$2:$B$73=$A5)*(Grupos!$C$2:$C$73=$B5)*Grupos!$G$2:$G$73)+SUMPRODUCT((Grupos!$B$2:$B$73=$A5)*(Grupos!$D$2:$D$73=$B5)*Grupos!$H$2:$H$73)</f>
        <v/>
      </c>
      <c r="H5" s="6">
        <f>SUMPRODUCT((Grupos!$B$2:$B$73=$A5)*(Grupos!$C$2:$C$73=$B5)*Grupos!$H$2:$H$73)+SUMPRODUCT((Grupos!$B$2:$B$73=$A5)*(Grupos!$D$2:$D$73=$B5)*Grupos!$G$2:$G$73)</f>
        <v/>
      </c>
      <c r="I5" s="6">
        <f>G5-H5</f>
        <v/>
      </c>
      <c r="J5" s="6">
        <f>D5*3+E5</f>
        <v/>
      </c>
      <c r="K5" s="6">
        <f>J5*1000000+I5*1000+G5*10-3</f>
        <v/>
      </c>
      <c r="L5" s="6">
        <f>1+COUNTIF($K$2:$K$5,"&gt;"&amp;K5)</f>
        <v/>
      </c>
      <c r="M5" s="6">
        <f>SUMPRODUCT((Grupos!$B$2:$B$73=$A5)*((Grupos!$C$2:$C$73=$B5)+(Grupos!$D$2:$D$73=$B5))*(Grupos!$E$2:$E$73&lt;&gt;""))</f>
        <v/>
      </c>
      <c r="N5" s="6">
        <f>SUMPRODUCT((Grupos!$B$2:$B$73=$A5)*(Grupos!$C$2:$C$73=$B5)*(Grupos!$E$2:$E$73&gt;Grupos!$F$2:$F$73))+SUMPRODUCT((Grupos!$B$2:$B$73=$A5)*(Grupos!$D$2:$D$73=$B5)*(Grupos!$F$2:$F$73&gt;Grupos!$E$2:$E$73))</f>
        <v/>
      </c>
      <c r="O5" s="6">
        <f>SUMPRODUCT((Grupos!$B$2:$B$73=$A5)*((Grupos!$C$2:$C$73=$B5)+(Grupos!$D$2:$D$73=$B5))*(Grupos!$E$2:$E$73=Grupos!$F$2:$F$73)*(Grupos!$E$2:$E$73&lt;&gt;""))</f>
        <v/>
      </c>
      <c r="P5" s="6">
        <f>M5-N5-O5</f>
        <v/>
      </c>
      <c r="Q5" s="6">
        <f>SUMPRODUCT((Grupos!$B$2:$B$73=$A5)*(Grupos!$C$2:$C$73=$B5)*Grupos!$E$2:$E$73)+SUMPRODUCT((Grupos!$B$2:$B$73=$A5)*(Grupos!$D$2:$D$73=$B5)*Grupos!$F$2:$F$73)</f>
        <v/>
      </c>
      <c r="R5" s="6">
        <f>SUMPRODUCT((Grupos!$B$2:$B$73=$A5)*(Grupos!$C$2:$C$73=$B5)*Grupos!$F$2:$F$73)+SUMPRODUCT((Grupos!$B$2:$B$73=$A5)*(Grupos!$D$2:$D$73=$B5)*Grupos!$E$2:$E$73)</f>
        <v/>
      </c>
      <c r="S5" s="6">
        <f>Q5-R5</f>
        <v/>
      </c>
      <c r="T5" s="6">
        <f>N5*3+O5</f>
        <v/>
      </c>
      <c r="U5" s="6">
        <f>T5*1000000+S5*1000+Q5*10-3</f>
        <v/>
      </c>
      <c r="V5" s="6">
        <f>1+COUNTIF($U$2:$U$5,"&gt;"&amp;U5)</f>
        <v/>
      </c>
      <c r="W5" s="6" t="n">
        <v>4</v>
      </c>
      <c r="X5" s="6">
        <f>INDEX($B$2:$B$5,MATCH(W5,$L$2:$L$5,0))</f>
        <v/>
      </c>
      <c r="Y5" s="6">
        <f>INDEX($B$2:$B$5,MATCH(W5,$V$2:$V$5,0))</f>
        <v/>
      </c>
      <c r="Z5" s="6">
        <f>IF(AND(X5&lt;&gt;"",X5=Y5),1,0)</f>
        <v/>
      </c>
      <c r="AA5" s="6">
        <f>INDEX($J$2:$J$5,MATCH(W5,$L$2:$L$5,0))</f>
        <v/>
      </c>
      <c r="AB5" s="6">
        <f>INDEX($I$2:$I$5,MATCH(W5,$L$2:$L$5,0))</f>
        <v/>
      </c>
      <c r="AC5" s="6">
        <f>INDEX($G$2:$G$5,MATCH(W5,$L$2:$L$5,0))</f>
        <v/>
      </c>
      <c r="AD5" s="6">
        <f>INDEX($T$2:$T$5,MATCH(W5,$V$2:$V$5,0))</f>
        <v/>
      </c>
      <c r="AE5" s="6">
        <f>INDEX($S$2:$S$5,MATCH(W5,$V$2:$V$5,0))</f>
        <v/>
      </c>
      <c r="AF5" s="6">
        <f>INDEX($Q$2:$Q$5,MATCH(W5,$V$2:$V$5,0))</f>
        <v/>
      </c>
    </row>
    <row r="6">
      <c r="A6" s="6" t="inlineStr">
        <is>
          <t>B</t>
        </is>
      </c>
      <c r="B6" s="6" t="inlineStr">
        <is>
          <t>Canadá</t>
        </is>
      </c>
      <c r="C6" s="6">
        <f>SUMPRODUCT((Grupos!$B$2:$B$73=$A6)*((Grupos!$C$2:$C$73=$B6)+(Grupos!$D$2:$D$73=$B6))*(Grupos!$G$2:$G$73&lt;&gt;""))</f>
        <v/>
      </c>
      <c r="D6" s="6">
        <f>SUMPRODUCT((Grupos!$B$2:$B$73=$A6)*(Grupos!$C$2:$C$73=$B6)*(Grupos!$G$2:$G$73&gt;Grupos!$H$2:$H$73))+SUMPRODUCT((Grupos!$B$2:$B$73=$A6)*(Grupos!$D$2:$D$73=$B6)*(Grupos!$H$2:$H$73&gt;Grupos!$G$2:$G$73))</f>
        <v/>
      </c>
      <c r="E6" s="6">
        <f>SUMPRODUCT((Grupos!$B$2:$B$73=$A6)*((Grupos!$C$2:$C$73=$B6)+(Grupos!$D$2:$D$73=$B6))*(Grupos!$G$2:$G$73=Grupos!$H$2:$H$73)*(Grupos!$G$2:$G$73&lt;&gt;""))</f>
        <v/>
      </c>
      <c r="F6" s="6">
        <f>C6-D6-E6</f>
        <v/>
      </c>
      <c r="G6" s="6">
        <f>SUMPRODUCT((Grupos!$B$2:$B$73=$A6)*(Grupos!$C$2:$C$73=$B6)*Grupos!$G$2:$G$73)+SUMPRODUCT((Grupos!$B$2:$B$73=$A6)*(Grupos!$D$2:$D$73=$B6)*Grupos!$H$2:$H$73)</f>
        <v/>
      </c>
      <c r="H6" s="6">
        <f>SUMPRODUCT((Grupos!$B$2:$B$73=$A6)*(Grupos!$C$2:$C$73=$B6)*Grupos!$H$2:$H$73)+SUMPRODUCT((Grupos!$B$2:$B$73=$A6)*(Grupos!$D$2:$D$73=$B6)*Grupos!$G$2:$G$73)</f>
        <v/>
      </c>
      <c r="I6" s="6">
        <f>G6-H6</f>
        <v/>
      </c>
      <c r="J6" s="6">
        <f>D6*3+E6</f>
        <v/>
      </c>
      <c r="K6" s="6">
        <f>J6*1000000+I6*1000+G6*10-0</f>
        <v/>
      </c>
      <c r="L6" s="6">
        <f>1+COUNTIF($K$6:$K$9,"&gt;"&amp;K6)</f>
        <v/>
      </c>
      <c r="M6" s="6">
        <f>SUMPRODUCT((Grupos!$B$2:$B$73=$A6)*((Grupos!$C$2:$C$73=$B6)+(Grupos!$D$2:$D$73=$B6))*(Grupos!$E$2:$E$73&lt;&gt;""))</f>
        <v/>
      </c>
      <c r="N6" s="6">
        <f>SUMPRODUCT((Grupos!$B$2:$B$73=$A6)*(Grupos!$C$2:$C$73=$B6)*(Grupos!$E$2:$E$73&gt;Grupos!$F$2:$F$73))+SUMPRODUCT((Grupos!$B$2:$B$73=$A6)*(Grupos!$D$2:$D$73=$B6)*(Grupos!$F$2:$F$73&gt;Grupos!$E$2:$E$73))</f>
        <v/>
      </c>
      <c r="O6" s="6">
        <f>SUMPRODUCT((Grupos!$B$2:$B$73=$A6)*((Grupos!$C$2:$C$73=$B6)+(Grupos!$D$2:$D$73=$B6))*(Grupos!$E$2:$E$73=Grupos!$F$2:$F$73)*(Grupos!$E$2:$E$73&lt;&gt;""))</f>
        <v/>
      </c>
      <c r="P6" s="6">
        <f>M6-N6-O6</f>
        <v/>
      </c>
      <c r="Q6" s="6">
        <f>SUMPRODUCT((Grupos!$B$2:$B$73=$A6)*(Grupos!$C$2:$C$73=$B6)*Grupos!$E$2:$E$73)+SUMPRODUCT((Grupos!$B$2:$B$73=$A6)*(Grupos!$D$2:$D$73=$B6)*Grupos!$F$2:$F$73)</f>
        <v/>
      </c>
      <c r="R6" s="6">
        <f>SUMPRODUCT((Grupos!$B$2:$B$73=$A6)*(Grupos!$C$2:$C$73=$B6)*Grupos!$F$2:$F$73)+SUMPRODUCT((Grupos!$B$2:$B$73=$A6)*(Grupos!$D$2:$D$73=$B6)*Grupos!$E$2:$E$73)</f>
        <v/>
      </c>
      <c r="S6" s="6">
        <f>Q6-R6</f>
        <v/>
      </c>
      <c r="T6" s="6">
        <f>N6*3+O6</f>
        <v/>
      </c>
      <c r="U6" s="6">
        <f>T6*1000000+S6*1000+Q6*10-0</f>
        <v/>
      </c>
      <c r="V6" s="6">
        <f>1+COUNTIF($U$6:$U$9,"&gt;"&amp;U6)</f>
        <v/>
      </c>
      <c r="W6" s="6" t="n">
        <v>1</v>
      </c>
      <c r="X6" s="6">
        <f>INDEX($B$6:$B$9,MATCH(W6,$L$6:$L$9,0))</f>
        <v/>
      </c>
      <c r="Y6" s="6">
        <f>INDEX($B$6:$B$9,MATCH(W6,$V$6:$V$9,0))</f>
        <v/>
      </c>
      <c r="Z6" s="6">
        <f>IF(AND(X6&lt;&gt;"",X6=Y6),1,0)</f>
        <v/>
      </c>
      <c r="AA6" s="6">
        <f>INDEX($J$6:$J$9,MATCH(W6,$L$6:$L$9,0))</f>
        <v/>
      </c>
      <c r="AB6" s="6">
        <f>INDEX($I$6:$I$9,MATCH(W6,$L$6:$L$9,0))</f>
        <v/>
      </c>
      <c r="AC6" s="6">
        <f>INDEX($G$6:$G$9,MATCH(W6,$L$6:$L$9,0))</f>
        <v/>
      </c>
      <c r="AD6" s="6">
        <f>INDEX($T$6:$T$9,MATCH(W6,$V$6:$V$9,0))</f>
        <v/>
      </c>
      <c r="AE6" s="6">
        <f>INDEX($S$6:$S$9,MATCH(W6,$V$6:$V$9,0))</f>
        <v/>
      </c>
      <c r="AF6" s="6">
        <f>INDEX($Q$6:$Q$9,MATCH(W6,$V$6:$V$9,0))</f>
        <v/>
      </c>
    </row>
    <row r="7">
      <c r="A7" s="6" t="inlineStr">
        <is>
          <t>B</t>
        </is>
      </c>
      <c r="B7" s="6" t="inlineStr">
        <is>
          <t>Bosnia y Herzegovina</t>
        </is>
      </c>
      <c r="C7" s="6">
        <f>SUMPRODUCT((Grupos!$B$2:$B$73=$A7)*((Grupos!$C$2:$C$73=$B7)+(Grupos!$D$2:$D$73=$B7))*(Grupos!$G$2:$G$73&lt;&gt;""))</f>
        <v/>
      </c>
      <c r="D7" s="6">
        <f>SUMPRODUCT((Grupos!$B$2:$B$73=$A7)*(Grupos!$C$2:$C$73=$B7)*(Grupos!$G$2:$G$73&gt;Grupos!$H$2:$H$73))+SUMPRODUCT((Grupos!$B$2:$B$73=$A7)*(Grupos!$D$2:$D$73=$B7)*(Grupos!$H$2:$H$73&gt;Grupos!$G$2:$G$73))</f>
        <v/>
      </c>
      <c r="E7" s="6">
        <f>SUMPRODUCT((Grupos!$B$2:$B$73=$A7)*((Grupos!$C$2:$C$73=$B7)+(Grupos!$D$2:$D$73=$B7))*(Grupos!$G$2:$G$73=Grupos!$H$2:$H$73)*(Grupos!$G$2:$G$73&lt;&gt;""))</f>
        <v/>
      </c>
      <c r="F7" s="6">
        <f>C7-D7-E7</f>
        <v/>
      </c>
      <c r="G7" s="6">
        <f>SUMPRODUCT((Grupos!$B$2:$B$73=$A7)*(Grupos!$C$2:$C$73=$B7)*Grupos!$G$2:$G$73)+SUMPRODUCT((Grupos!$B$2:$B$73=$A7)*(Grupos!$D$2:$D$73=$B7)*Grupos!$H$2:$H$73)</f>
        <v/>
      </c>
      <c r="H7" s="6">
        <f>SUMPRODUCT((Grupos!$B$2:$B$73=$A7)*(Grupos!$C$2:$C$73=$B7)*Grupos!$H$2:$H$73)+SUMPRODUCT((Grupos!$B$2:$B$73=$A7)*(Grupos!$D$2:$D$73=$B7)*Grupos!$G$2:$G$73)</f>
        <v/>
      </c>
      <c r="I7" s="6">
        <f>G7-H7</f>
        <v/>
      </c>
      <c r="J7" s="6">
        <f>D7*3+E7</f>
        <v/>
      </c>
      <c r="K7" s="6">
        <f>J7*1000000+I7*1000+G7*10-1</f>
        <v/>
      </c>
      <c r="L7" s="6">
        <f>1+COUNTIF($K$6:$K$9,"&gt;"&amp;K7)</f>
        <v/>
      </c>
      <c r="M7" s="6">
        <f>SUMPRODUCT((Grupos!$B$2:$B$73=$A7)*((Grupos!$C$2:$C$73=$B7)+(Grupos!$D$2:$D$73=$B7))*(Grupos!$E$2:$E$73&lt;&gt;""))</f>
        <v/>
      </c>
      <c r="N7" s="6">
        <f>SUMPRODUCT((Grupos!$B$2:$B$73=$A7)*(Grupos!$C$2:$C$73=$B7)*(Grupos!$E$2:$E$73&gt;Grupos!$F$2:$F$73))+SUMPRODUCT((Grupos!$B$2:$B$73=$A7)*(Grupos!$D$2:$D$73=$B7)*(Grupos!$F$2:$F$73&gt;Grupos!$E$2:$E$73))</f>
        <v/>
      </c>
      <c r="O7" s="6">
        <f>SUMPRODUCT((Grupos!$B$2:$B$73=$A7)*((Grupos!$C$2:$C$73=$B7)+(Grupos!$D$2:$D$73=$B7))*(Grupos!$E$2:$E$73=Grupos!$F$2:$F$73)*(Grupos!$E$2:$E$73&lt;&gt;""))</f>
        <v/>
      </c>
      <c r="P7" s="6">
        <f>M7-N7-O7</f>
        <v/>
      </c>
      <c r="Q7" s="6">
        <f>SUMPRODUCT((Grupos!$B$2:$B$73=$A7)*(Grupos!$C$2:$C$73=$B7)*Grupos!$E$2:$E$73)+SUMPRODUCT((Grupos!$B$2:$B$73=$A7)*(Grupos!$D$2:$D$73=$B7)*Grupos!$F$2:$F$73)</f>
        <v/>
      </c>
      <c r="R7" s="6">
        <f>SUMPRODUCT((Grupos!$B$2:$B$73=$A7)*(Grupos!$C$2:$C$73=$B7)*Grupos!$F$2:$F$73)+SUMPRODUCT((Grupos!$B$2:$B$73=$A7)*(Grupos!$D$2:$D$73=$B7)*Grupos!$E$2:$E$73)</f>
        <v/>
      </c>
      <c r="S7" s="6">
        <f>Q7-R7</f>
        <v/>
      </c>
      <c r="T7" s="6">
        <f>N7*3+O7</f>
        <v/>
      </c>
      <c r="U7" s="6">
        <f>T7*1000000+S7*1000+Q7*10-1</f>
        <v/>
      </c>
      <c r="V7" s="6">
        <f>1+COUNTIF($U$6:$U$9,"&gt;"&amp;U7)</f>
        <v/>
      </c>
      <c r="W7" s="6" t="n">
        <v>2</v>
      </c>
      <c r="X7" s="6">
        <f>INDEX($B$6:$B$9,MATCH(W7,$L$6:$L$9,0))</f>
        <v/>
      </c>
      <c r="Y7" s="6">
        <f>INDEX($B$6:$B$9,MATCH(W7,$V$6:$V$9,0))</f>
        <v/>
      </c>
      <c r="Z7" s="6">
        <f>IF(AND(X7&lt;&gt;"",X7=Y7),1,0)</f>
        <v/>
      </c>
      <c r="AA7" s="6">
        <f>INDEX($J$6:$J$9,MATCH(W7,$L$6:$L$9,0))</f>
        <v/>
      </c>
      <c r="AB7" s="6">
        <f>INDEX($I$6:$I$9,MATCH(W7,$L$6:$L$9,0))</f>
        <v/>
      </c>
      <c r="AC7" s="6">
        <f>INDEX($G$6:$G$9,MATCH(W7,$L$6:$L$9,0))</f>
        <v/>
      </c>
      <c r="AD7" s="6">
        <f>INDEX($T$6:$T$9,MATCH(W7,$V$6:$V$9,0))</f>
        <v/>
      </c>
      <c r="AE7" s="6">
        <f>INDEX($S$6:$S$9,MATCH(W7,$V$6:$V$9,0))</f>
        <v/>
      </c>
      <c r="AF7" s="6">
        <f>INDEX($Q$6:$Q$9,MATCH(W7,$V$6:$V$9,0))</f>
        <v/>
      </c>
    </row>
    <row r="8">
      <c r="A8" s="6" t="inlineStr">
        <is>
          <t>B</t>
        </is>
      </c>
      <c r="B8" s="6" t="inlineStr">
        <is>
          <t>Catar</t>
        </is>
      </c>
      <c r="C8" s="6">
        <f>SUMPRODUCT((Grupos!$B$2:$B$73=$A8)*((Grupos!$C$2:$C$73=$B8)+(Grupos!$D$2:$D$73=$B8))*(Grupos!$G$2:$G$73&lt;&gt;""))</f>
        <v/>
      </c>
      <c r="D8" s="6">
        <f>SUMPRODUCT((Grupos!$B$2:$B$73=$A8)*(Grupos!$C$2:$C$73=$B8)*(Grupos!$G$2:$G$73&gt;Grupos!$H$2:$H$73))+SUMPRODUCT((Grupos!$B$2:$B$73=$A8)*(Grupos!$D$2:$D$73=$B8)*(Grupos!$H$2:$H$73&gt;Grupos!$G$2:$G$73))</f>
        <v/>
      </c>
      <c r="E8" s="6">
        <f>SUMPRODUCT((Grupos!$B$2:$B$73=$A8)*((Grupos!$C$2:$C$73=$B8)+(Grupos!$D$2:$D$73=$B8))*(Grupos!$G$2:$G$73=Grupos!$H$2:$H$73)*(Grupos!$G$2:$G$73&lt;&gt;""))</f>
        <v/>
      </c>
      <c r="F8" s="6">
        <f>C8-D8-E8</f>
        <v/>
      </c>
      <c r="G8" s="6">
        <f>SUMPRODUCT((Grupos!$B$2:$B$73=$A8)*(Grupos!$C$2:$C$73=$B8)*Grupos!$G$2:$G$73)+SUMPRODUCT((Grupos!$B$2:$B$73=$A8)*(Grupos!$D$2:$D$73=$B8)*Grupos!$H$2:$H$73)</f>
        <v/>
      </c>
      <c r="H8" s="6">
        <f>SUMPRODUCT((Grupos!$B$2:$B$73=$A8)*(Grupos!$C$2:$C$73=$B8)*Grupos!$H$2:$H$73)+SUMPRODUCT((Grupos!$B$2:$B$73=$A8)*(Grupos!$D$2:$D$73=$B8)*Grupos!$G$2:$G$73)</f>
        <v/>
      </c>
      <c r="I8" s="6">
        <f>G8-H8</f>
        <v/>
      </c>
      <c r="J8" s="6">
        <f>D8*3+E8</f>
        <v/>
      </c>
      <c r="K8" s="6">
        <f>J8*1000000+I8*1000+G8*10-2</f>
        <v/>
      </c>
      <c r="L8" s="6">
        <f>1+COUNTIF($K$6:$K$9,"&gt;"&amp;K8)</f>
        <v/>
      </c>
      <c r="M8" s="6">
        <f>SUMPRODUCT((Grupos!$B$2:$B$73=$A8)*((Grupos!$C$2:$C$73=$B8)+(Grupos!$D$2:$D$73=$B8))*(Grupos!$E$2:$E$73&lt;&gt;""))</f>
        <v/>
      </c>
      <c r="N8" s="6">
        <f>SUMPRODUCT((Grupos!$B$2:$B$73=$A8)*(Grupos!$C$2:$C$73=$B8)*(Grupos!$E$2:$E$73&gt;Grupos!$F$2:$F$73))+SUMPRODUCT((Grupos!$B$2:$B$73=$A8)*(Grupos!$D$2:$D$73=$B8)*(Grupos!$F$2:$F$73&gt;Grupos!$E$2:$E$73))</f>
        <v/>
      </c>
      <c r="O8" s="6">
        <f>SUMPRODUCT((Grupos!$B$2:$B$73=$A8)*((Grupos!$C$2:$C$73=$B8)+(Grupos!$D$2:$D$73=$B8))*(Grupos!$E$2:$E$73=Grupos!$F$2:$F$73)*(Grupos!$E$2:$E$73&lt;&gt;""))</f>
        <v/>
      </c>
      <c r="P8" s="6">
        <f>M8-N8-O8</f>
        <v/>
      </c>
      <c r="Q8" s="6">
        <f>SUMPRODUCT((Grupos!$B$2:$B$73=$A8)*(Grupos!$C$2:$C$73=$B8)*Grupos!$E$2:$E$73)+SUMPRODUCT((Grupos!$B$2:$B$73=$A8)*(Grupos!$D$2:$D$73=$B8)*Grupos!$F$2:$F$73)</f>
        <v/>
      </c>
      <c r="R8" s="6">
        <f>SUMPRODUCT((Grupos!$B$2:$B$73=$A8)*(Grupos!$C$2:$C$73=$B8)*Grupos!$F$2:$F$73)+SUMPRODUCT((Grupos!$B$2:$B$73=$A8)*(Grupos!$D$2:$D$73=$B8)*Grupos!$E$2:$E$73)</f>
        <v/>
      </c>
      <c r="S8" s="6">
        <f>Q8-R8</f>
        <v/>
      </c>
      <c r="T8" s="6">
        <f>N8*3+O8</f>
        <v/>
      </c>
      <c r="U8" s="6">
        <f>T8*1000000+S8*1000+Q8*10-2</f>
        <v/>
      </c>
      <c r="V8" s="6">
        <f>1+COUNTIF($U$6:$U$9,"&gt;"&amp;U8)</f>
        <v/>
      </c>
      <c r="W8" s="6" t="n">
        <v>3</v>
      </c>
      <c r="X8" s="6">
        <f>INDEX($B$6:$B$9,MATCH(W8,$L$6:$L$9,0))</f>
        <v/>
      </c>
      <c r="Y8" s="6">
        <f>INDEX($B$6:$B$9,MATCH(W8,$V$6:$V$9,0))</f>
        <v/>
      </c>
      <c r="Z8" s="6">
        <f>IF(AND(X8&lt;&gt;"",X8=Y8),1,0)</f>
        <v/>
      </c>
      <c r="AA8" s="6">
        <f>INDEX($J$6:$J$9,MATCH(W8,$L$6:$L$9,0))</f>
        <v/>
      </c>
      <c r="AB8" s="6">
        <f>INDEX($I$6:$I$9,MATCH(W8,$L$6:$L$9,0))</f>
        <v/>
      </c>
      <c r="AC8" s="6">
        <f>INDEX($G$6:$G$9,MATCH(W8,$L$6:$L$9,0))</f>
        <v/>
      </c>
      <c r="AD8" s="6">
        <f>INDEX($T$6:$T$9,MATCH(W8,$V$6:$V$9,0))</f>
        <v/>
      </c>
      <c r="AE8" s="6">
        <f>INDEX($S$6:$S$9,MATCH(W8,$V$6:$V$9,0))</f>
        <v/>
      </c>
      <c r="AF8" s="6">
        <f>INDEX($Q$6:$Q$9,MATCH(W8,$V$6:$V$9,0))</f>
        <v/>
      </c>
    </row>
    <row r="9">
      <c r="A9" s="6" t="inlineStr">
        <is>
          <t>B</t>
        </is>
      </c>
      <c r="B9" s="6" t="inlineStr">
        <is>
          <t>Suiza</t>
        </is>
      </c>
      <c r="C9" s="6">
        <f>SUMPRODUCT((Grupos!$B$2:$B$73=$A9)*((Grupos!$C$2:$C$73=$B9)+(Grupos!$D$2:$D$73=$B9))*(Grupos!$G$2:$G$73&lt;&gt;""))</f>
        <v/>
      </c>
      <c r="D9" s="6">
        <f>SUMPRODUCT((Grupos!$B$2:$B$73=$A9)*(Grupos!$C$2:$C$73=$B9)*(Grupos!$G$2:$G$73&gt;Grupos!$H$2:$H$73))+SUMPRODUCT((Grupos!$B$2:$B$73=$A9)*(Grupos!$D$2:$D$73=$B9)*(Grupos!$H$2:$H$73&gt;Grupos!$G$2:$G$73))</f>
        <v/>
      </c>
      <c r="E9" s="6">
        <f>SUMPRODUCT((Grupos!$B$2:$B$73=$A9)*((Grupos!$C$2:$C$73=$B9)+(Grupos!$D$2:$D$73=$B9))*(Grupos!$G$2:$G$73=Grupos!$H$2:$H$73)*(Grupos!$G$2:$G$73&lt;&gt;""))</f>
        <v/>
      </c>
      <c r="F9" s="6">
        <f>C9-D9-E9</f>
        <v/>
      </c>
      <c r="G9" s="6">
        <f>SUMPRODUCT((Grupos!$B$2:$B$73=$A9)*(Grupos!$C$2:$C$73=$B9)*Grupos!$G$2:$G$73)+SUMPRODUCT((Grupos!$B$2:$B$73=$A9)*(Grupos!$D$2:$D$73=$B9)*Grupos!$H$2:$H$73)</f>
        <v/>
      </c>
      <c r="H9" s="6">
        <f>SUMPRODUCT((Grupos!$B$2:$B$73=$A9)*(Grupos!$C$2:$C$73=$B9)*Grupos!$H$2:$H$73)+SUMPRODUCT((Grupos!$B$2:$B$73=$A9)*(Grupos!$D$2:$D$73=$B9)*Grupos!$G$2:$G$73)</f>
        <v/>
      </c>
      <c r="I9" s="6">
        <f>G9-H9</f>
        <v/>
      </c>
      <c r="J9" s="6">
        <f>D9*3+E9</f>
        <v/>
      </c>
      <c r="K9" s="6">
        <f>J9*1000000+I9*1000+G9*10-3</f>
        <v/>
      </c>
      <c r="L9" s="6">
        <f>1+COUNTIF($K$6:$K$9,"&gt;"&amp;K9)</f>
        <v/>
      </c>
      <c r="M9" s="6">
        <f>SUMPRODUCT((Grupos!$B$2:$B$73=$A9)*((Grupos!$C$2:$C$73=$B9)+(Grupos!$D$2:$D$73=$B9))*(Grupos!$E$2:$E$73&lt;&gt;""))</f>
        <v/>
      </c>
      <c r="N9" s="6">
        <f>SUMPRODUCT((Grupos!$B$2:$B$73=$A9)*(Grupos!$C$2:$C$73=$B9)*(Grupos!$E$2:$E$73&gt;Grupos!$F$2:$F$73))+SUMPRODUCT((Grupos!$B$2:$B$73=$A9)*(Grupos!$D$2:$D$73=$B9)*(Grupos!$F$2:$F$73&gt;Grupos!$E$2:$E$73))</f>
        <v/>
      </c>
      <c r="O9" s="6">
        <f>SUMPRODUCT((Grupos!$B$2:$B$73=$A9)*((Grupos!$C$2:$C$73=$B9)+(Grupos!$D$2:$D$73=$B9))*(Grupos!$E$2:$E$73=Grupos!$F$2:$F$73)*(Grupos!$E$2:$E$73&lt;&gt;""))</f>
        <v/>
      </c>
      <c r="P9" s="6">
        <f>M9-N9-O9</f>
        <v/>
      </c>
      <c r="Q9" s="6">
        <f>SUMPRODUCT((Grupos!$B$2:$B$73=$A9)*(Grupos!$C$2:$C$73=$B9)*Grupos!$E$2:$E$73)+SUMPRODUCT((Grupos!$B$2:$B$73=$A9)*(Grupos!$D$2:$D$73=$B9)*Grupos!$F$2:$F$73)</f>
        <v/>
      </c>
      <c r="R9" s="6">
        <f>SUMPRODUCT((Grupos!$B$2:$B$73=$A9)*(Grupos!$C$2:$C$73=$B9)*Grupos!$F$2:$F$73)+SUMPRODUCT((Grupos!$B$2:$B$73=$A9)*(Grupos!$D$2:$D$73=$B9)*Grupos!$E$2:$E$73)</f>
        <v/>
      </c>
      <c r="S9" s="6">
        <f>Q9-R9</f>
        <v/>
      </c>
      <c r="T9" s="6">
        <f>N9*3+O9</f>
        <v/>
      </c>
      <c r="U9" s="6">
        <f>T9*1000000+S9*1000+Q9*10-3</f>
        <v/>
      </c>
      <c r="V9" s="6">
        <f>1+COUNTIF($U$6:$U$9,"&gt;"&amp;U9)</f>
        <v/>
      </c>
      <c r="W9" s="6" t="n">
        <v>4</v>
      </c>
      <c r="X9" s="6">
        <f>INDEX($B$6:$B$9,MATCH(W9,$L$6:$L$9,0))</f>
        <v/>
      </c>
      <c r="Y9" s="6">
        <f>INDEX($B$6:$B$9,MATCH(W9,$V$6:$V$9,0))</f>
        <v/>
      </c>
      <c r="Z9" s="6">
        <f>IF(AND(X9&lt;&gt;"",X9=Y9),1,0)</f>
        <v/>
      </c>
      <c r="AA9" s="6">
        <f>INDEX($J$6:$J$9,MATCH(W9,$L$6:$L$9,0))</f>
        <v/>
      </c>
      <c r="AB9" s="6">
        <f>INDEX($I$6:$I$9,MATCH(W9,$L$6:$L$9,0))</f>
        <v/>
      </c>
      <c r="AC9" s="6">
        <f>INDEX($G$6:$G$9,MATCH(W9,$L$6:$L$9,0))</f>
        <v/>
      </c>
      <c r="AD9" s="6">
        <f>INDEX($T$6:$T$9,MATCH(W9,$V$6:$V$9,0))</f>
        <v/>
      </c>
      <c r="AE9" s="6">
        <f>INDEX($S$6:$S$9,MATCH(W9,$V$6:$V$9,0))</f>
        <v/>
      </c>
      <c r="AF9" s="6">
        <f>INDEX($Q$6:$Q$9,MATCH(W9,$V$6:$V$9,0))</f>
        <v/>
      </c>
    </row>
    <row r="10">
      <c r="A10" s="6" t="inlineStr">
        <is>
          <t>C</t>
        </is>
      </c>
      <c r="B10" s="6" t="inlineStr">
        <is>
          <t>Brasil</t>
        </is>
      </c>
      <c r="C10" s="6">
        <f>SUMPRODUCT((Grupos!$B$2:$B$73=$A10)*((Grupos!$C$2:$C$73=$B10)+(Grupos!$D$2:$D$73=$B10))*(Grupos!$G$2:$G$73&lt;&gt;""))</f>
        <v/>
      </c>
      <c r="D10" s="6">
        <f>SUMPRODUCT((Grupos!$B$2:$B$73=$A10)*(Grupos!$C$2:$C$73=$B10)*(Grupos!$G$2:$G$73&gt;Grupos!$H$2:$H$73))+SUMPRODUCT((Grupos!$B$2:$B$73=$A10)*(Grupos!$D$2:$D$73=$B10)*(Grupos!$H$2:$H$73&gt;Grupos!$G$2:$G$73))</f>
        <v/>
      </c>
      <c r="E10" s="6">
        <f>SUMPRODUCT((Grupos!$B$2:$B$73=$A10)*((Grupos!$C$2:$C$73=$B10)+(Grupos!$D$2:$D$73=$B10))*(Grupos!$G$2:$G$73=Grupos!$H$2:$H$73)*(Grupos!$G$2:$G$73&lt;&gt;""))</f>
        <v/>
      </c>
      <c r="F10" s="6">
        <f>C10-D10-E10</f>
        <v/>
      </c>
      <c r="G10" s="6">
        <f>SUMPRODUCT((Grupos!$B$2:$B$73=$A10)*(Grupos!$C$2:$C$73=$B10)*Grupos!$G$2:$G$73)+SUMPRODUCT((Grupos!$B$2:$B$73=$A10)*(Grupos!$D$2:$D$73=$B10)*Grupos!$H$2:$H$73)</f>
        <v/>
      </c>
      <c r="H10" s="6">
        <f>SUMPRODUCT((Grupos!$B$2:$B$73=$A10)*(Grupos!$C$2:$C$73=$B10)*Grupos!$H$2:$H$73)+SUMPRODUCT((Grupos!$B$2:$B$73=$A10)*(Grupos!$D$2:$D$73=$B10)*Grupos!$G$2:$G$73)</f>
        <v/>
      </c>
      <c r="I10" s="6">
        <f>G10-H10</f>
        <v/>
      </c>
      <c r="J10" s="6">
        <f>D10*3+E10</f>
        <v/>
      </c>
      <c r="K10" s="6">
        <f>J10*1000000+I10*1000+G10*10-0</f>
        <v/>
      </c>
      <c r="L10" s="6">
        <f>1+COUNTIF($K$10:$K$13,"&gt;"&amp;K10)</f>
        <v/>
      </c>
      <c r="M10" s="6">
        <f>SUMPRODUCT((Grupos!$B$2:$B$73=$A10)*((Grupos!$C$2:$C$73=$B10)+(Grupos!$D$2:$D$73=$B10))*(Grupos!$E$2:$E$73&lt;&gt;""))</f>
        <v/>
      </c>
      <c r="N10" s="6">
        <f>SUMPRODUCT((Grupos!$B$2:$B$73=$A10)*(Grupos!$C$2:$C$73=$B10)*(Grupos!$E$2:$E$73&gt;Grupos!$F$2:$F$73))+SUMPRODUCT((Grupos!$B$2:$B$73=$A10)*(Grupos!$D$2:$D$73=$B10)*(Grupos!$F$2:$F$73&gt;Grupos!$E$2:$E$73))</f>
        <v/>
      </c>
      <c r="O10" s="6">
        <f>SUMPRODUCT((Grupos!$B$2:$B$73=$A10)*((Grupos!$C$2:$C$73=$B10)+(Grupos!$D$2:$D$73=$B10))*(Grupos!$E$2:$E$73=Grupos!$F$2:$F$73)*(Grupos!$E$2:$E$73&lt;&gt;""))</f>
        <v/>
      </c>
      <c r="P10" s="6">
        <f>M10-N10-O10</f>
        <v/>
      </c>
      <c r="Q10" s="6">
        <f>SUMPRODUCT((Grupos!$B$2:$B$73=$A10)*(Grupos!$C$2:$C$73=$B10)*Grupos!$E$2:$E$73)+SUMPRODUCT((Grupos!$B$2:$B$73=$A10)*(Grupos!$D$2:$D$73=$B10)*Grupos!$F$2:$F$73)</f>
        <v/>
      </c>
      <c r="R10" s="6">
        <f>SUMPRODUCT((Grupos!$B$2:$B$73=$A10)*(Grupos!$C$2:$C$73=$B10)*Grupos!$F$2:$F$73)+SUMPRODUCT((Grupos!$B$2:$B$73=$A10)*(Grupos!$D$2:$D$73=$B10)*Grupos!$E$2:$E$73)</f>
        <v/>
      </c>
      <c r="S10" s="6">
        <f>Q10-R10</f>
        <v/>
      </c>
      <c r="T10" s="6">
        <f>N10*3+O10</f>
        <v/>
      </c>
      <c r="U10" s="6">
        <f>T10*1000000+S10*1000+Q10*10-0</f>
        <v/>
      </c>
      <c r="V10" s="6">
        <f>1+COUNTIF($U$10:$U$13,"&gt;"&amp;U10)</f>
        <v/>
      </c>
      <c r="W10" s="6" t="n">
        <v>1</v>
      </c>
      <c r="X10" s="6">
        <f>INDEX($B$10:$B$13,MATCH(W10,$L$10:$L$13,0))</f>
        <v/>
      </c>
      <c r="Y10" s="6">
        <f>INDEX($B$10:$B$13,MATCH(W10,$V$10:$V$13,0))</f>
        <v/>
      </c>
      <c r="Z10" s="6">
        <f>IF(AND(X10&lt;&gt;"",X10=Y10),1,0)</f>
        <v/>
      </c>
      <c r="AA10" s="6">
        <f>INDEX($J$10:$J$13,MATCH(W10,$L$10:$L$13,0))</f>
        <v/>
      </c>
      <c r="AB10" s="6">
        <f>INDEX($I$10:$I$13,MATCH(W10,$L$10:$L$13,0))</f>
        <v/>
      </c>
      <c r="AC10" s="6">
        <f>INDEX($G$10:$G$13,MATCH(W10,$L$10:$L$13,0))</f>
        <v/>
      </c>
      <c r="AD10" s="6">
        <f>INDEX($T$10:$T$13,MATCH(W10,$V$10:$V$13,0))</f>
        <v/>
      </c>
      <c r="AE10" s="6">
        <f>INDEX($S$10:$S$13,MATCH(W10,$V$10:$V$13,0))</f>
        <v/>
      </c>
      <c r="AF10" s="6">
        <f>INDEX($Q$10:$Q$13,MATCH(W10,$V$10:$V$13,0))</f>
        <v/>
      </c>
    </row>
    <row r="11">
      <c r="A11" s="6" t="inlineStr">
        <is>
          <t>C</t>
        </is>
      </c>
      <c r="B11" s="6" t="inlineStr">
        <is>
          <t>Marruecos</t>
        </is>
      </c>
      <c r="C11" s="6">
        <f>SUMPRODUCT((Grupos!$B$2:$B$73=$A11)*((Grupos!$C$2:$C$73=$B11)+(Grupos!$D$2:$D$73=$B11))*(Grupos!$G$2:$G$73&lt;&gt;""))</f>
        <v/>
      </c>
      <c r="D11" s="6">
        <f>SUMPRODUCT((Grupos!$B$2:$B$73=$A11)*(Grupos!$C$2:$C$73=$B11)*(Grupos!$G$2:$G$73&gt;Grupos!$H$2:$H$73))+SUMPRODUCT((Grupos!$B$2:$B$73=$A11)*(Grupos!$D$2:$D$73=$B11)*(Grupos!$H$2:$H$73&gt;Grupos!$G$2:$G$73))</f>
        <v/>
      </c>
      <c r="E11" s="6">
        <f>SUMPRODUCT((Grupos!$B$2:$B$73=$A11)*((Grupos!$C$2:$C$73=$B11)+(Grupos!$D$2:$D$73=$B11))*(Grupos!$G$2:$G$73=Grupos!$H$2:$H$73)*(Grupos!$G$2:$G$73&lt;&gt;""))</f>
        <v/>
      </c>
      <c r="F11" s="6">
        <f>C11-D11-E11</f>
        <v/>
      </c>
      <c r="G11" s="6">
        <f>SUMPRODUCT((Grupos!$B$2:$B$73=$A11)*(Grupos!$C$2:$C$73=$B11)*Grupos!$G$2:$G$73)+SUMPRODUCT((Grupos!$B$2:$B$73=$A11)*(Grupos!$D$2:$D$73=$B11)*Grupos!$H$2:$H$73)</f>
        <v/>
      </c>
      <c r="H11" s="6">
        <f>SUMPRODUCT((Grupos!$B$2:$B$73=$A11)*(Grupos!$C$2:$C$73=$B11)*Grupos!$H$2:$H$73)+SUMPRODUCT((Grupos!$B$2:$B$73=$A11)*(Grupos!$D$2:$D$73=$B11)*Grupos!$G$2:$G$73)</f>
        <v/>
      </c>
      <c r="I11" s="6">
        <f>G11-H11</f>
        <v/>
      </c>
      <c r="J11" s="6">
        <f>D11*3+E11</f>
        <v/>
      </c>
      <c r="K11" s="6">
        <f>J11*1000000+I11*1000+G11*10-1</f>
        <v/>
      </c>
      <c r="L11" s="6">
        <f>1+COUNTIF($K$10:$K$13,"&gt;"&amp;K11)</f>
        <v/>
      </c>
      <c r="M11" s="6">
        <f>SUMPRODUCT((Grupos!$B$2:$B$73=$A11)*((Grupos!$C$2:$C$73=$B11)+(Grupos!$D$2:$D$73=$B11))*(Grupos!$E$2:$E$73&lt;&gt;""))</f>
        <v/>
      </c>
      <c r="N11" s="6">
        <f>SUMPRODUCT((Grupos!$B$2:$B$73=$A11)*(Grupos!$C$2:$C$73=$B11)*(Grupos!$E$2:$E$73&gt;Grupos!$F$2:$F$73))+SUMPRODUCT((Grupos!$B$2:$B$73=$A11)*(Grupos!$D$2:$D$73=$B11)*(Grupos!$F$2:$F$73&gt;Grupos!$E$2:$E$73))</f>
        <v/>
      </c>
      <c r="O11" s="6">
        <f>SUMPRODUCT((Grupos!$B$2:$B$73=$A11)*((Grupos!$C$2:$C$73=$B11)+(Grupos!$D$2:$D$73=$B11))*(Grupos!$E$2:$E$73=Grupos!$F$2:$F$73)*(Grupos!$E$2:$E$73&lt;&gt;""))</f>
        <v/>
      </c>
      <c r="P11" s="6">
        <f>M11-N11-O11</f>
        <v/>
      </c>
      <c r="Q11" s="6">
        <f>SUMPRODUCT((Grupos!$B$2:$B$73=$A11)*(Grupos!$C$2:$C$73=$B11)*Grupos!$E$2:$E$73)+SUMPRODUCT((Grupos!$B$2:$B$73=$A11)*(Grupos!$D$2:$D$73=$B11)*Grupos!$F$2:$F$73)</f>
        <v/>
      </c>
      <c r="R11" s="6">
        <f>SUMPRODUCT((Grupos!$B$2:$B$73=$A11)*(Grupos!$C$2:$C$73=$B11)*Grupos!$F$2:$F$73)+SUMPRODUCT((Grupos!$B$2:$B$73=$A11)*(Grupos!$D$2:$D$73=$B11)*Grupos!$E$2:$E$73)</f>
        <v/>
      </c>
      <c r="S11" s="6">
        <f>Q11-R11</f>
        <v/>
      </c>
      <c r="T11" s="6">
        <f>N11*3+O11</f>
        <v/>
      </c>
      <c r="U11" s="6">
        <f>T11*1000000+S11*1000+Q11*10-1</f>
        <v/>
      </c>
      <c r="V11" s="6">
        <f>1+COUNTIF($U$10:$U$13,"&gt;"&amp;U11)</f>
        <v/>
      </c>
      <c r="W11" s="6" t="n">
        <v>2</v>
      </c>
      <c r="X11" s="6">
        <f>INDEX($B$10:$B$13,MATCH(W11,$L$10:$L$13,0))</f>
        <v/>
      </c>
      <c r="Y11" s="6">
        <f>INDEX($B$10:$B$13,MATCH(W11,$V$10:$V$13,0))</f>
        <v/>
      </c>
      <c r="Z11" s="6">
        <f>IF(AND(X11&lt;&gt;"",X11=Y11),1,0)</f>
        <v/>
      </c>
      <c r="AA11" s="6">
        <f>INDEX($J$10:$J$13,MATCH(W11,$L$10:$L$13,0))</f>
        <v/>
      </c>
      <c r="AB11" s="6">
        <f>INDEX($I$10:$I$13,MATCH(W11,$L$10:$L$13,0))</f>
        <v/>
      </c>
      <c r="AC11" s="6">
        <f>INDEX($G$10:$G$13,MATCH(W11,$L$10:$L$13,0))</f>
        <v/>
      </c>
      <c r="AD11" s="6">
        <f>INDEX($T$10:$T$13,MATCH(W11,$V$10:$V$13,0))</f>
        <v/>
      </c>
      <c r="AE11" s="6">
        <f>INDEX($S$10:$S$13,MATCH(W11,$V$10:$V$13,0))</f>
        <v/>
      </c>
      <c r="AF11" s="6">
        <f>INDEX($Q$10:$Q$13,MATCH(W11,$V$10:$V$13,0))</f>
        <v/>
      </c>
    </row>
    <row r="12">
      <c r="A12" s="6" t="inlineStr">
        <is>
          <t>C</t>
        </is>
      </c>
      <c r="B12" s="6" t="inlineStr">
        <is>
          <t>Haití</t>
        </is>
      </c>
      <c r="C12" s="6">
        <f>SUMPRODUCT((Grupos!$B$2:$B$73=$A12)*((Grupos!$C$2:$C$73=$B12)+(Grupos!$D$2:$D$73=$B12))*(Grupos!$G$2:$G$73&lt;&gt;""))</f>
        <v/>
      </c>
      <c r="D12" s="6">
        <f>SUMPRODUCT((Grupos!$B$2:$B$73=$A12)*(Grupos!$C$2:$C$73=$B12)*(Grupos!$G$2:$G$73&gt;Grupos!$H$2:$H$73))+SUMPRODUCT((Grupos!$B$2:$B$73=$A12)*(Grupos!$D$2:$D$73=$B12)*(Grupos!$H$2:$H$73&gt;Grupos!$G$2:$G$73))</f>
        <v/>
      </c>
      <c r="E12" s="6">
        <f>SUMPRODUCT((Grupos!$B$2:$B$73=$A12)*((Grupos!$C$2:$C$73=$B12)+(Grupos!$D$2:$D$73=$B12))*(Grupos!$G$2:$G$73=Grupos!$H$2:$H$73)*(Grupos!$G$2:$G$73&lt;&gt;""))</f>
        <v/>
      </c>
      <c r="F12" s="6">
        <f>C12-D12-E12</f>
        <v/>
      </c>
      <c r="G12" s="6">
        <f>SUMPRODUCT((Grupos!$B$2:$B$73=$A12)*(Grupos!$C$2:$C$73=$B12)*Grupos!$G$2:$G$73)+SUMPRODUCT((Grupos!$B$2:$B$73=$A12)*(Grupos!$D$2:$D$73=$B12)*Grupos!$H$2:$H$73)</f>
        <v/>
      </c>
      <c r="H12" s="6">
        <f>SUMPRODUCT((Grupos!$B$2:$B$73=$A12)*(Grupos!$C$2:$C$73=$B12)*Grupos!$H$2:$H$73)+SUMPRODUCT((Grupos!$B$2:$B$73=$A12)*(Grupos!$D$2:$D$73=$B12)*Grupos!$G$2:$G$73)</f>
        <v/>
      </c>
      <c r="I12" s="6">
        <f>G12-H12</f>
        <v/>
      </c>
      <c r="J12" s="6">
        <f>D12*3+E12</f>
        <v/>
      </c>
      <c r="K12" s="6">
        <f>J12*1000000+I12*1000+G12*10-2</f>
        <v/>
      </c>
      <c r="L12" s="6">
        <f>1+COUNTIF($K$10:$K$13,"&gt;"&amp;K12)</f>
        <v/>
      </c>
      <c r="M12" s="6">
        <f>SUMPRODUCT((Grupos!$B$2:$B$73=$A12)*((Grupos!$C$2:$C$73=$B12)+(Grupos!$D$2:$D$73=$B12))*(Grupos!$E$2:$E$73&lt;&gt;""))</f>
        <v/>
      </c>
      <c r="N12" s="6">
        <f>SUMPRODUCT((Grupos!$B$2:$B$73=$A12)*(Grupos!$C$2:$C$73=$B12)*(Grupos!$E$2:$E$73&gt;Grupos!$F$2:$F$73))+SUMPRODUCT((Grupos!$B$2:$B$73=$A12)*(Grupos!$D$2:$D$73=$B12)*(Grupos!$F$2:$F$73&gt;Grupos!$E$2:$E$73))</f>
        <v/>
      </c>
      <c r="O12" s="6">
        <f>SUMPRODUCT((Grupos!$B$2:$B$73=$A12)*((Grupos!$C$2:$C$73=$B12)+(Grupos!$D$2:$D$73=$B12))*(Grupos!$E$2:$E$73=Grupos!$F$2:$F$73)*(Grupos!$E$2:$E$73&lt;&gt;""))</f>
        <v/>
      </c>
      <c r="P12" s="6">
        <f>M12-N12-O12</f>
        <v/>
      </c>
      <c r="Q12" s="6">
        <f>SUMPRODUCT((Grupos!$B$2:$B$73=$A12)*(Grupos!$C$2:$C$73=$B12)*Grupos!$E$2:$E$73)+SUMPRODUCT((Grupos!$B$2:$B$73=$A12)*(Grupos!$D$2:$D$73=$B12)*Grupos!$F$2:$F$73)</f>
        <v/>
      </c>
      <c r="R12" s="6">
        <f>SUMPRODUCT((Grupos!$B$2:$B$73=$A12)*(Grupos!$C$2:$C$73=$B12)*Grupos!$F$2:$F$73)+SUMPRODUCT((Grupos!$B$2:$B$73=$A12)*(Grupos!$D$2:$D$73=$B12)*Grupos!$E$2:$E$73)</f>
        <v/>
      </c>
      <c r="S12" s="6">
        <f>Q12-R12</f>
        <v/>
      </c>
      <c r="T12" s="6">
        <f>N12*3+O12</f>
        <v/>
      </c>
      <c r="U12" s="6">
        <f>T12*1000000+S12*1000+Q12*10-2</f>
        <v/>
      </c>
      <c r="V12" s="6">
        <f>1+COUNTIF($U$10:$U$13,"&gt;"&amp;U12)</f>
        <v/>
      </c>
      <c r="W12" s="6" t="n">
        <v>3</v>
      </c>
      <c r="X12" s="6">
        <f>INDEX($B$10:$B$13,MATCH(W12,$L$10:$L$13,0))</f>
        <v/>
      </c>
      <c r="Y12" s="6">
        <f>INDEX($B$10:$B$13,MATCH(W12,$V$10:$V$13,0))</f>
        <v/>
      </c>
      <c r="Z12" s="6">
        <f>IF(AND(X12&lt;&gt;"",X12=Y12),1,0)</f>
        <v/>
      </c>
      <c r="AA12" s="6">
        <f>INDEX($J$10:$J$13,MATCH(W12,$L$10:$L$13,0))</f>
        <v/>
      </c>
      <c r="AB12" s="6">
        <f>INDEX($I$10:$I$13,MATCH(W12,$L$10:$L$13,0))</f>
        <v/>
      </c>
      <c r="AC12" s="6">
        <f>INDEX($G$10:$G$13,MATCH(W12,$L$10:$L$13,0))</f>
        <v/>
      </c>
      <c r="AD12" s="6">
        <f>INDEX($T$10:$T$13,MATCH(W12,$V$10:$V$13,0))</f>
        <v/>
      </c>
      <c r="AE12" s="6">
        <f>INDEX($S$10:$S$13,MATCH(W12,$V$10:$V$13,0))</f>
        <v/>
      </c>
      <c r="AF12" s="6">
        <f>INDEX($Q$10:$Q$13,MATCH(W12,$V$10:$V$13,0))</f>
        <v/>
      </c>
    </row>
    <row r="13">
      <c r="A13" s="6" t="inlineStr">
        <is>
          <t>C</t>
        </is>
      </c>
      <c r="B13" s="6" t="inlineStr">
        <is>
          <t>Escocia</t>
        </is>
      </c>
      <c r="C13" s="6">
        <f>SUMPRODUCT((Grupos!$B$2:$B$73=$A13)*((Grupos!$C$2:$C$73=$B13)+(Grupos!$D$2:$D$73=$B13))*(Grupos!$G$2:$G$73&lt;&gt;""))</f>
        <v/>
      </c>
      <c r="D13" s="6">
        <f>SUMPRODUCT((Grupos!$B$2:$B$73=$A13)*(Grupos!$C$2:$C$73=$B13)*(Grupos!$G$2:$G$73&gt;Grupos!$H$2:$H$73))+SUMPRODUCT((Grupos!$B$2:$B$73=$A13)*(Grupos!$D$2:$D$73=$B13)*(Grupos!$H$2:$H$73&gt;Grupos!$G$2:$G$73))</f>
        <v/>
      </c>
      <c r="E13" s="6">
        <f>SUMPRODUCT((Grupos!$B$2:$B$73=$A13)*((Grupos!$C$2:$C$73=$B13)+(Grupos!$D$2:$D$73=$B13))*(Grupos!$G$2:$G$73=Grupos!$H$2:$H$73)*(Grupos!$G$2:$G$73&lt;&gt;""))</f>
        <v/>
      </c>
      <c r="F13" s="6">
        <f>C13-D13-E13</f>
        <v/>
      </c>
      <c r="G13" s="6">
        <f>SUMPRODUCT((Grupos!$B$2:$B$73=$A13)*(Grupos!$C$2:$C$73=$B13)*Grupos!$G$2:$G$73)+SUMPRODUCT((Grupos!$B$2:$B$73=$A13)*(Grupos!$D$2:$D$73=$B13)*Grupos!$H$2:$H$73)</f>
        <v/>
      </c>
      <c r="H13" s="6">
        <f>SUMPRODUCT((Grupos!$B$2:$B$73=$A13)*(Grupos!$C$2:$C$73=$B13)*Grupos!$H$2:$H$73)+SUMPRODUCT((Grupos!$B$2:$B$73=$A13)*(Grupos!$D$2:$D$73=$B13)*Grupos!$G$2:$G$73)</f>
        <v/>
      </c>
      <c r="I13" s="6">
        <f>G13-H13</f>
        <v/>
      </c>
      <c r="J13" s="6">
        <f>D13*3+E13</f>
        <v/>
      </c>
      <c r="K13" s="6">
        <f>J13*1000000+I13*1000+G13*10-3</f>
        <v/>
      </c>
      <c r="L13" s="6">
        <f>1+COUNTIF($K$10:$K$13,"&gt;"&amp;K13)</f>
        <v/>
      </c>
      <c r="M13" s="6">
        <f>SUMPRODUCT((Grupos!$B$2:$B$73=$A13)*((Grupos!$C$2:$C$73=$B13)+(Grupos!$D$2:$D$73=$B13))*(Grupos!$E$2:$E$73&lt;&gt;""))</f>
        <v/>
      </c>
      <c r="N13" s="6">
        <f>SUMPRODUCT((Grupos!$B$2:$B$73=$A13)*(Grupos!$C$2:$C$73=$B13)*(Grupos!$E$2:$E$73&gt;Grupos!$F$2:$F$73))+SUMPRODUCT((Grupos!$B$2:$B$73=$A13)*(Grupos!$D$2:$D$73=$B13)*(Grupos!$F$2:$F$73&gt;Grupos!$E$2:$E$73))</f>
        <v/>
      </c>
      <c r="O13" s="6">
        <f>SUMPRODUCT((Grupos!$B$2:$B$73=$A13)*((Grupos!$C$2:$C$73=$B13)+(Grupos!$D$2:$D$73=$B13))*(Grupos!$E$2:$E$73=Grupos!$F$2:$F$73)*(Grupos!$E$2:$E$73&lt;&gt;""))</f>
        <v/>
      </c>
      <c r="P13" s="6">
        <f>M13-N13-O13</f>
        <v/>
      </c>
      <c r="Q13" s="6">
        <f>SUMPRODUCT((Grupos!$B$2:$B$73=$A13)*(Grupos!$C$2:$C$73=$B13)*Grupos!$E$2:$E$73)+SUMPRODUCT((Grupos!$B$2:$B$73=$A13)*(Grupos!$D$2:$D$73=$B13)*Grupos!$F$2:$F$73)</f>
        <v/>
      </c>
      <c r="R13" s="6">
        <f>SUMPRODUCT((Grupos!$B$2:$B$73=$A13)*(Grupos!$C$2:$C$73=$B13)*Grupos!$F$2:$F$73)+SUMPRODUCT((Grupos!$B$2:$B$73=$A13)*(Grupos!$D$2:$D$73=$B13)*Grupos!$E$2:$E$73)</f>
        <v/>
      </c>
      <c r="S13" s="6">
        <f>Q13-R13</f>
        <v/>
      </c>
      <c r="T13" s="6">
        <f>N13*3+O13</f>
        <v/>
      </c>
      <c r="U13" s="6">
        <f>T13*1000000+S13*1000+Q13*10-3</f>
        <v/>
      </c>
      <c r="V13" s="6">
        <f>1+COUNTIF($U$10:$U$13,"&gt;"&amp;U13)</f>
        <v/>
      </c>
      <c r="W13" s="6" t="n">
        <v>4</v>
      </c>
      <c r="X13" s="6">
        <f>INDEX($B$10:$B$13,MATCH(W13,$L$10:$L$13,0))</f>
        <v/>
      </c>
      <c r="Y13" s="6">
        <f>INDEX($B$10:$B$13,MATCH(W13,$V$10:$V$13,0))</f>
        <v/>
      </c>
      <c r="Z13" s="6">
        <f>IF(AND(X13&lt;&gt;"",X13=Y13),1,0)</f>
        <v/>
      </c>
      <c r="AA13" s="6">
        <f>INDEX($J$10:$J$13,MATCH(W13,$L$10:$L$13,0))</f>
        <v/>
      </c>
      <c r="AB13" s="6">
        <f>INDEX($I$10:$I$13,MATCH(W13,$L$10:$L$13,0))</f>
        <v/>
      </c>
      <c r="AC13" s="6">
        <f>INDEX($G$10:$G$13,MATCH(W13,$L$10:$L$13,0))</f>
        <v/>
      </c>
      <c r="AD13" s="6">
        <f>INDEX($T$10:$T$13,MATCH(W13,$V$10:$V$13,0))</f>
        <v/>
      </c>
      <c r="AE13" s="6">
        <f>INDEX($S$10:$S$13,MATCH(W13,$V$10:$V$13,0))</f>
        <v/>
      </c>
      <c r="AF13" s="6">
        <f>INDEX($Q$10:$Q$13,MATCH(W13,$V$10:$V$13,0))</f>
        <v/>
      </c>
    </row>
    <row r="14">
      <c r="A14" s="6" t="inlineStr">
        <is>
          <t>D</t>
        </is>
      </c>
      <c r="B14" s="6" t="inlineStr">
        <is>
          <t>Estados Unidos</t>
        </is>
      </c>
      <c r="C14" s="6">
        <f>SUMPRODUCT((Grupos!$B$2:$B$73=$A14)*((Grupos!$C$2:$C$73=$B14)+(Grupos!$D$2:$D$73=$B14))*(Grupos!$G$2:$G$73&lt;&gt;""))</f>
        <v/>
      </c>
      <c r="D14" s="6">
        <f>SUMPRODUCT((Grupos!$B$2:$B$73=$A14)*(Grupos!$C$2:$C$73=$B14)*(Grupos!$G$2:$G$73&gt;Grupos!$H$2:$H$73))+SUMPRODUCT((Grupos!$B$2:$B$73=$A14)*(Grupos!$D$2:$D$73=$B14)*(Grupos!$H$2:$H$73&gt;Grupos!$G$2:$G$73))</f>
        <v/>
      </c>
      <c r="E14" s="6">
        <f>SUMPRODUCT((Grupos!$B$2:$B$73=$A14)*((Grupos!$C$2:$C$73=$B14)+(Grupos!$D$2:$D$73=$B14))*(Grupos!$G$2:$G$73=Grupos!$H$2:$H$73)*(Grupos!$G$2:$G$73&lt;&gt;""))</f>
        <v/>
      </c>
      <c r="F14" s="6">
        <f>C14-D14-E14</f>
        <v/>
      </c>
      <c r="G14" s="6">
        <f>SUMPRODUCT((Grupos!$B$2:$B$73=$A14)*(Grupos!$C$2:$C$73=$B14)*Grupos!$G$2:$G$73)+SUMPRODUCT((Grupos!$B$2:$B$73=$A14)*(Grupos!$D$2:$D$73=$B14)*Grupos!$H$2:$H$73)</f>
        <v/>
      </c>
      <c r="H14" s="6">
        <f>SUMPRODUCT((Grupos!$B$2:$B$73=$A14)*(Grupos!$C$2:$C$73=$B14)*Grupos!$H$2:$H$73)+SUMPRODUCT((Grupos!$B$2:$B$73=$A14)*(Grupos!$D$2:$D$73=$B14)*Grupos!$G$2:$G$73)</f>
        <v/>
      </c>
      <c r="I14" s="6">
        <f>G14-H14</f>
        <v/>
      </c>
      <c r="J14" s="6">
        <f>D14*3+E14</f>
        <v/>
      </c>
      <c r="K14" s="6">
        <f>J14*1000000+I14*1000+G14*10-0</f>
        <v/>
      </c>
      <c r="L14" s="6">
        <f>1+COUNTIF($K$14:$K$17,"&gt;"&amp;K14)</f>
        <v/>
      </c>
      <c r="M14" s="6">
        <f>SUMPRODUCT((Grupos!$B$2:$B$73=$A14)*((Grupos!$C$2:$C$73=$B14)+(Grupos!$D$2:$D$73=$B14))*(Grupos!$E$2:$E$73&lt;&gt;""))</f>
        <v/>
      </c>
      <c r="N14" s="6">
        <f>SUMPRODUCT((Grupos!$B$2:$B$73=$A14)*(Grupos!$C$2:$C$73=$B14)*(Grupos!$E$2:$E$73&gt;Grupos!$F$2:$F$73))+SUMPRODUCT((Grupos!$B$2:$B$73=$A14)*(Grupos!$D$2:$D$73=$B14)*(Grupos!$F$2:$F$73&gt;Grupos!$E$2:$E$73))</f>
        <v/>
      </c>
      <c r="O14" s="6">
        <f>SUMPRODUCT((Grupos!$B$2:$B$73=$A14)*((Grupos!$C$2:$C$73=$B14)+(Grupos!$D$2:$D$73=$B14))*(Grupos!$E$2:$E$73=Grupos!$F$2:$F$73)*(Grupos!$E$2:$E$73&lt;&gt;""))</f>
        <v/>
      </c>
      <c r="P14" s="6">
        <f>M14-N14-O14</f>
        <v/>
      </c>
      <c r="Q14" s="6">
        <f>SUMPRODUCT((Grupos!$B$2:$B$73=$A14)*(Grupos!$C$2:$C$73=$B14)*Grupos!$E$2:$E$73)+SUMPRODUCT((Grupos!$B$2:$B$73=$A14)*(Grupos!$D$2:$D$73=$B14)*Grupos!$F$2:$F$73)</f>
        <v/>
      </c>
      <c r="R14" s="6">
        <f>SUMPRODUCT((Grupos!$B$2:$B$73=$A14)*(Grupos!$C$2:$C$73=$B14)*Grupos!$F$2:$F$73)+SUMPRODUCT((Grupos!$B$2:$B$73=$A14)*(Grupos!$D$2:$D$73=$B14)*Grupos!$E$2:$E$73)</f>
        <v/>
      </c>
      <c r="S14" s="6">
        <f>Q14-R14</f>
        <v/>
      </c>
      <c r="T14" s="6">
        <f>N14*3+O14</f>
        <v/>
      </c>
      <c r="U14" s="6">
        <f>T14*1000000+S14*1000+Q14*10-0</f>
        <v/>
      </c>
      <c r="V14" s="6">
        <f>1+COUNTIF($U$14:$U$17,"&gt;"&amp;U14)</f>
        <v/>
      </c>
      <c r="W14" s="6" t="n">
        <v>1</v>
      </c>
      <c r="X14" s="6">
        <f>INDEX($B$14:$B$17,MATCH(W14,$L$14:$L$17,0))</f>
        <v/>
      </c>
      <c r="Y14" s="6">
        <f>INDEX($B$14:$B$17,MATCH(W14,$V$14:$V$17,0))</f>
        <v/>
      </c>
      <c r="Z14" s="6">
        <f>IF(AND(X14&lt;&gt;"",X14=Y14),1,0)</f>
        <v/>
      </c>
      <c r="AA14" s="6">
        <f>INDEX($J$14:$J$17,MATCH(W14,$L$14:$L$17,0))</f>
        <v/>
      </c>
      <c r="AB14" s="6">
        <f>INDEX($I$14:$I$17,MATCH(W14,$L$14:$L$17,0))</f>
        <v/>
      </c>
      <c r="AC14" s="6">
        <f>INDEX($G$14:$G$17,MATCH(W14,$L$14:$L$17,0))</f>
        <v/>
      </c>
      <c r="AD14" s="6">
        <f>INDEX($T$14:$T$17,MATCH(W14,$V$14:$V$17,0))</f>
        <v/>
      </c>
      <c r="AE14" s="6">
        <f>INDEX($S$14:$S$17,MATCH(W14,$V$14:$V$17,0))</f>
        <v/>
      </c>
      <c r="AF14" s="6">
        <f>INDEX($Q$14:$Q$17,MATCH(W14,$V$14:$V$17,0))</f>
        <v/>
      </c>
    </row>
    <row r="15">
      <c r="A15" s="6" t="inlineStr">
        <is>
          <t>D</t>
        </is>
      </c>
      <c r="B15" s="6" t="inlineStr">
        <is>
          <t>Paraguay</t>
        </is>
      </c>
      <c r="C15" s="6">
        <f>SUMPRODUCT((Grupos!$B$2:$B$73=$A15)*((Grupos!$C$2:$C$73=$B15)+(Grupos!$D$2:$D$73=$B15))*(Grupos!$G$2:$G$73&lt;&gt;""))</f>
        <v/>
      </c>
      <c r="D15" s="6">
        <f>SUMPRODUCT((Grupos!$B$2:$B$73=$A15)*(Grupos!$C$2:$C$73=$B15)*(Grupos!$G$2:$G$73&gt;Grupos!$H$2:$H$73))+SUMPRODUCT((Grupos!$B$2:$B$73=$A15)*(Grupos!$D$2:$D$73=$B15)*(Grupos!$H$2:$H$73&gt;Grupos!$G$2:$G$73))</f>
        <v/>
      </c>
      <c r="E15" s="6">
        <f>SUMPRODUCT((Grupos!$B$2:$B$73=$A15)*((Grupos!$C$2:$C$73=$B15)+(Grupos!$D$2:$D$73=$B15))*(Grupos!$G$2:$G$73=Grupos!$H$2:$H$73)*(Grupos!$G$2:$G$73&lt;&gt;""))</f>
        <v/>
      </c>
      <c r="F15" s="6">
        <f>C15-D15-E15</f>
        <v/>
      </c>
      <c r="G15" s="6">
        <f>SUMPRODUCT((Grupos!$B$2:$B$73=$A15)*(Grupos!$C$2:$C$73=$B15)*Grupos!$G$2:$G$73)+SUMPRODUCT((Grupos!$B$2:$B$73=$A15)*(Grupos!$D$2:$D$73=$B15)*Grupos!$H$2:$H$73)</f>
        <v/>
      </c>
      <c r="H15" s="6">
        <f>SUMPRODUCT((Grupos!$B$2:$B$73=$A15)*(Grupos!$C$2:$C$73=$B15)*Grupos!$H$2:$H$73)+SUMPRODUCT((Grupos!$B$2:$B$73=$A15)*(Grupos!$D$2:$D$73=$B15)*Grupos!$G$2:$G$73)</f>
        <v/>
      </c>
      <c r="I15" s="6">
        <f>G15-H15</f>
        <v/>
      </c>
      <c r="J15" s="6">
        <f>D15*3+E15</f>
        <v/>
      </c>
      <c r="K15" s="6">
        <f>J15*1000000+I15*1000+G15*10-1</f>
        <v/>
      </c>
      <c r="L15" s="6">
        <f>1+COUNTIF($K$14:$K$17,"&gt;"&amp;K15)</f>
        <v/>
      </c>
      <c r="M15" s="6">
        <f>SUMPRODUCT((Grupos!$B$2:$B$73=$A15)*((Grupos!$C$2:$C$73=$B15)+(Grupos!$D$2:$D$73=$B15))*(Grupos!$E$2:$E$73&lt;&gt;""))</f>
        <v/>
      </c>
      <c r="N15" s="6">
        <f>SUMPRODUCT((Grupos!$B$2:$B$73=$A15)*(Grupos!$C$2:$C$73=$B15)*(Grupos!$E$2:$E$73&gt;Grupos!$F$2:$F$73))+SUMPRODUCT((Grupos!$B$2:$B$73=$A15)*(Grupos!$D$2:$D$73=$B15)*(Grupos!$F$2:$F$73&gt;Grupos!$E$2:$E$73))</f>
        <v/>
      </c>
      <c r="O15" s="6">
        <f>SUMPRODUCT((Grupos!$B$2:$B$73=$A15)*((Grupos!$C$2:$C$73=$B15)+(Grupos!$D$2:$D$73=$B15))*(Grupos!$E$2:$E$73=Grupos!$F$2:$F$73)*(Grupos!$E$2:$E$73&lt;&gt;""))</f>
        <v/>
      </c>
      <c r="P15" s="6">
        <f>M15-N15-O15</f>
        <v/>
      </c>
      <c r="Q15" s="6">
        <f>SUMPRODUCT((Grupos!$B$2:$B$73=$A15)*(Grupos!$C$2:$C$73=$B15)*Grupos!$E$2:$E$73)+SUMPRODUCT((Grupos!$B$2:$B$73=$A15)*(Grupos!$D$2:$D$73=$B15)*Grupos!$F$2:$F$73)</f>
        <v/>
      </c>
      <c r="R15" s="6">
        <f>SUMPRODUCT((Grupos!$B$2:$B$73=$A15)*(Grupos!$C$2:$C$73=$B15)*Grupos!$F$2:$F$73)+SUMPRODUCT((Grupos!$B$2:$B$73=$A15)*(Grupos!$D$2:$D$73=$B15)*Grupos!$E$2:$E$73)</f>
        <v/>
      </c>
      <c r="S15" s="6">
        <f>Q15-R15</f>
        <v/>
      </c>
      <c r="T15" s="6">
        <f>N15*3+O15</f>
        <v/>
      </c>
      <c r="U15" s="6">
        <f>T15*1000000+S15*1000+Q15*10-1</f>
        <v/>
      </c>
      <c r="V15" s="6">
        <f>1+COUNTIF($U$14:$U$17,"&gt;"&amp;U15)</f>
        <v/>
      </c>
      <c r="W15" s="6" t="n">
        <v>2</v>
      </c>
      <c r="X15" s="6">
        <f>INDEX($B$14:$B$17,MATCH(W15,$L$14:$L$17,0))</f>
        <v/>
      </c>
      <c r="Y15" s="6">
        <f>INDEX($B$14:$B$17,MATCH(W15,$V$14:$V$17,0))</f>
        <v/>
      </c>
      <c r="Z15" s="6">
        <f>IF(AND(X15&lt;&gt;"",X15=Y15),1,0)</f>
        <v/>
      </c>
      <c r="AA15" s="6">
        <f>INDEX($J$14:$J$17,MATCH(W15,$L$14:$L$17,0))</f>
        <v/>
      </c>
      <c r="AB15" s="6">
        <f>INDEX($I$14:$I$17,MATCH(W15,$L$14:$L$17,0))</f>
        <v/>
      </c>
      <c r="AC15" s="6">
        <f>INDEX($G$14:$G$17,MATCH(W15,$L$14:$L$17,0))</f>
        <v/>
      </c>
      <c r="AD15" s="6">
        <f>INDEX($T$14:$T$17,MATCH(W15,$V$14:$V$17,0))</f>
        <v/>
      </c>
      <c r="AE15" s="6">
        <f>INDEX($S$14:$S$17,MATCH(W15,$V$14:$V$17,0))</f>
        <v/>
      </c>
      <c r="AF15" s="6">
        <f>INDEX($Q$14:$Q$17,MATCH(W15,$V$14:$V$17,0))</f>
        <v/>
      </c>
    </row>
    <row r="16">
      <c r="A16" s="6" t="inlineStr">
        <is>
          <t>D</t>
        </is>
      </c>
      <c r="B16" s="6" t="inlineStr">
        <is>
          <t>Australia</t>
        </is>
      </c>
      <c r="C16" s="6">
        <f>SUMPRODUCT((Grupos!$B$2:$B$73=$A16)*((Grupos!$C$2:$C$73=$B16)+(Grupos!$D$2:$D$73=$B16))*(Grupos!$G$2:$G$73&lt;&gt;""))</f>
        <v/>
      </c>
      <c r="D16" s="6">
        <f>SUMPRODUCT((Grupos!$B$2:$B$73=$A16)*(Grupos!$C$2:$C$73=$B16)*(Grupos!$G$2:$G$73&gt;Grupos!$H$2:$H$73))+SUMPRODUCT((Grupos!$B$2:$B$73=$A16)*(Grupos!$D$2:$D$73=$B16)*(Grupos!$H$2:$H$73&gt;Grupos!$G$2:$G$73))</f>
        <v/>
      </c>
      <c r="E16" s="6">
        <f>SUMPRODUCT((Grupos!$B$2:$B$73=$A16)*((Grupos!$C$2:$C$73=$B16)+(Grupos!$D$2:$D$73=$B16))*(Grupos!$G$2:$G$73=Grupos!$H$2:$H$73)*(Grupos!$G$2:$G$73&lt;&gt;""))</f>
        <v/>
      </c>
      <c r="F16" s="6">
        <f>C16-D16-E16</f>
        <v/>
      </c>
      <c r="G16" s="6">
        <f>SUMPRODUCT((Grupos!$B$2:$B$73=$A16)*(Grupos!$C$2:$C$73=$B16)*Grupos!$G$2:$G$73)+SUMPRODUCT((Grupos!$B$2:$B$73=$A16)*(Grupos!$D$2:$D$73=$B16)*Grupos!$H$2:$H$73)</f>
        <v/>
      </c>
      <c r="H16" s="6">
        <f>SUMPRODUCT((Grupos!$B$2:$B$73=$A16)*(Grupos!$C$2:$C$73=$B16)*Grupos!$H$2:$H$73)+SUMPRODUCT((Grupos!$B$2:$B$73=$A16)*(Grupos!$D$2:$D$73=$B16)*Grupos!$G$2:$G$73)</f>
        <v/>
      </c>
      <c r="I16" s="6">
        <f>G16-H16</f>
        <v/>
      </c>
      <c r="J16" s="6">
        <f>D16*3+E16</f>
        <v/>
      </c>
      <c r="K16" s="6">
        <f>J16*1000000+I16*1000+G16*10-2</f>
        <v/>
      </c>
      <c r="L16" s="6">
        <f>1+COUNTIF($K$14:$K$17,"&gt;"&amp;K16)</f>
        <v/>
      </c>
      <c r="M16" s="6">
        <f>SUMPRODUCT((Grupos!$B$2:$B$73=$A16)*((Grupos!$C$2:$C$73=$B16)+(Grupos!$D$2:$D$73=$B16))*(Grupos!$E$2:$E$73&lt;&gt;""))</f>
        <v/>
      </c>
      <c r="N16" s="6">
        <f>SUMPRODUCT((Grupos!$B$2:$B$73=$A16)*(Grupos!$C$2:$C$73=$B16)*(Grupos!$E$2:$E$73&gt;Grupos!$F$2:$F$73))+SUMPRODUCT((Grupos!$B$2:$B$73=$A16)*(Grupos!$D$2:$D$73=$B16)*(Grupos!$F$2:$F$73&gt;Grupos!$E$2:$E$73))</f>
        <v/>
      </c>
      <c r="O16" s="6">
        <f>SUMPRODUCT((Grupos!$B$2:$B$73=$A16)*((Grupos!$C$2:$C$73=$B16)+(Grupos!$D$2:$D$73=$B16))*(Grupos!$E$2:$E$73=Grupos!$F$2:$F$73)*(Grupos!$E$2:$E$73&lt;&gt;""))</f>
        <v/>
      </c>
      <c r="P16" s="6">
        <f>M16-N16-O16</f>
        <v/>
      </c>
      <c r="Q16" s="6">
        <f>SUMPRODUCT((Grupos!$B$2:$B$73=$A16)*(Grupos!$C$2:$C$73=$B16)*Grupos!$E$2:$E$73)+SUMPRODUCT((Grupos!$B$2:$B$73=$A16)*(Grupos!$D$2:$D$73=$B16)*Grupos!$F$2:$F$73)</f>
        <v/>
      </c>
      <c r="R16" s="6">
        <f>SUMPRODUCT((Grupos!$B$2:$B$73=$A16)*(Grupos!$C$2:$C$73=$B16)*Grupos!$F$2:$F$73)+SUMPRODUCT((Grupos!$B$2:$B$73=$A16)*(Grupos!$D$2:$D$73=$B16)*Grupos!$E$2:$E$73)</f>
        <v/>
      </c>
      <c r="S16" s="6">
        <f>Q16-R16</f>
        <v/>
      </c>
      <c r="T16" s="6">
        <f>N16*3+O16</f>
        <v/>
      </c>
      <c r="U16" s="6">
        <f>T16*1000000+S16*1000+Q16*10-2</f>
        <v/>
      </c>
      <c r="V16" s="6">
        <f>1+COUNTIF($U$14:$U$17,"&gt;"&amp;U16)</f>
        <v/>
      </c>
      <c r="W16" s="6" t="n">
        <v>3</v>
      </c>
      <c r="X16" s="6">
        <f>INDEX($B$14:$B$17,MATCH(W16,$L$14:$L$17,0))</f>
        <v/>
      </c>
      <c r="Y16" s="6">
        <f>INDEX($B$14:$B$17,MATCH(W16,$V$14:$V$17,0))</f>
        <v/>
      </c>
      <c r="Z16" s="6">
        <f>IF(AND(X16&lt;&gt;"",X16=Y16),1,0)</f>
        <v/>
      </c>
      <c r="AA16" s="6">
        <f>INDEX($J$14:$J$17,MATCH(W16,$L$14:$L$17,0))</f>
        <v/>
      </c>
      <c r="AB16" s="6">
        <f>INDEX($I$14:$I$17,MATCH(W16,$L$14:$L$17,0))</f>
        <v/>
      </c>
      <c r="AC16" s="6">
        <f>INDEX($G$14:$G$17,MATCH(W16,$L$14:$L$17,0))</f>
        <v/>
      </c>
      <c r="AD16" s="6">
        <f>INDEX($T$14:$T$17,MATCH(W16,$V$14:$V$17,0))</f>
        <v/>
      </c>
      <c r="AE16" s="6">
        <f>INDEX($S$14:$S$17,MATCH(W16,$V$14:$V$17,0))</f>
        <v/>
      </c>
      <c r="AF16" s="6">
        <f>INDEX($Q$14:$Q$17,MATCH(W16,$V$14:$V$17,0))</f>
        <v/>
      </c>
    </row>
    <row r="17">
      <c r="A17" s="6" t="inlineStr">
        <is>
          <t>D</t>
        </is>
      </c>
      <c r="B17" s="6" t="inlineStr">
        <is>
          <t>Turquía</t>
        </is>
      </c>
      <c r="C17" s="6">
        <f>SUMPRODUCT((Grupos!$B$2:$B$73=$A17)*((Grupos!$C$2:$C$73=$B17)+(Grupos!$D$2:$D$73=$B17))*(Grupos!$G$2:$G$73&lt;&gt;""))</f>
        <v/>
      </c>
      <c r="D17" s="6">
        <f>SUMPRODUCT((Grupos!$B$2:$B$73=$A17)*(Grupos!$C$2:$C$73=$B17)*(Grupos!$G$2:$G$73&gt;Grupos!$H$2:$H$73))+SUMPRODUCT((Grupos!$B$2:$B$73=$A17)*(Grupos!$D$2:$D$73=$B17)*(Grupos!$H$2:$H$73&gt;Grupos!$G$2:$G$73))</f>
        <v/>
      </c>
      <c r="E17" s="6">
        <f>SUMPRODUCT((Grupos!$B$2:$B$73=$A17)*((Grupos!$C$2:$C$73=$B17)+(Grupos!$D$2:$D$73=$B17))*(Grupos!$G$2:$G$73=Grupos!$H$2:$H$73)*(Grupos!$G$2:$G$73&lt;&gt;""))</f>
        <v/>
      </c>
      <c r="F17" s="6">
        <f>C17-D17-E17</f>
        <v/>
      </c>
      <c r="G17" s="6">
        <f>SUMPRODUCT((Grupos!$B$2:$B$73=$A17)*(Grupos!$C$2:$C$73=$B17)*Grupos!$G$2:$G$73)+SUMPRODUCT((Grupos!$B$2:$B$73=$A17)*(Grupos!$D$2:$D$73=$B17)*Grupos!$H$2:$H$73)</f>
        <v/>
      </c>
      <c r="H17" s="6">
        <f>SUMPRODUCT((Grupos!$B$2:$B$73=$A17)*(Grupos!$C$2:$C$73=$B17)*Grupos!$H$2:$H$73)+SUMPRODUCT((Grupos!$B$2:$B$73=$A17)*(Grupos!$D$2:$D$73=$B17)*Grupos!$G$2:$G$73)</f>
        <v/>
      </c>
      <c r="I17" s="6">
        <f>G17-H17</f>
        <v/>
      </c>
      <c r="J17" s="6">
        <f>D17*3+E17</f>
        <v/>
      </c>
      <c r="K17" s="6">
        <f>J17*1000000+I17*1000+G17*10-3</f>
        <v/>
      </c>
      <c r="L17" s="6">
        <f>1+COUNTIF($K$14:$K$17,"&gt;"&amp;K17)</f>
        <v/>
      </c>
      <c r="M17" s="6">
        <f>SUMPRODUCT((Grupos!$B$2:$B$73=$A17)*((Grupos!$C$2:$C$73=$B17)+(Grupos!$D$2:$D$73=$B17))*(Grupos!$E$2:$E$73&lt;&gt;""))</f>
        <v/>
      </c>
      <c r="N17" s="6">
        <f>SUMPRODUCT((Grupos!$B$2:$B$73=$A17)*(Grupos!$C$2:$C$73=$B17)*(Grupos!$E$2:$E$73&gt;Grupos!$F$2:$F$73))+SUMPRODUCT((Grupos!$B$2:$B$73=$A17)*(Grupos!$D$2:$D$73=$B17)*(Grupos!$F$2:$F$73&gt;Grupos!$E$2:$E$73))</f>
        <v/>
      </c>
      <c r="O17" s="6">
        <f>SUMPRODUCT((Grupos!$B$2:$B$73=$A17)*((Grupos!$C$2:$C$73=$B17)+(Grupos!$D$2:$D$73=$B17))*(Grupos!$E$2:$E$73=Grupos!$F$2:$F$73)*(Grupos!$E$2:$E$73&lt;&gt;""))</f>
        <v/>
      </c>
      <c r="P17" s="6">
        <f>M17-N17-O17</f>
        <v/>
      </c>
      <c r="Q17" s="6">
        <f>SUMPRODUCT((Grupos!$B$2:$B$73=$A17)*(Grupos!$C$2:$C$73=$B17)*Grupos!$E$2:$E$73)+SUMPRODUCT((Grupos!$B$2:$B$73=$A17)*(Grupos!$D$2:$D$73=$B17)*Grupos!$F$2:$F$73)</f>
        <v/>
      </c>
      <c r="R17" s="6">
        <f>SUMPRODUCT((Grupos!$B$2:$B$73=$A17)*(Grupos!$C$2:$C$73=$B17)*Grupos!$F$2:$F$73)+SUMPRODUCT((Grupos!$B$2:$B$73=$A17)*(Grupos!$D$2:$D$73=$B17)*Grupos!$E$2:$E$73)</f>
        <v/>
      </c>
      <c r="S17" s="6">
        <f>Q17-R17</f>
        <v/>
      </c>
      <c r="T17" s="6">
        <f>N17*3+O17</f>
        <v/>
      </c>
      <c r="U17" s="6">
        <f>T17*1000000+S17*1000+Q17*10-3</f>
        <v/>
      </c>
      <c r="V17" s="6">
        <f>1+COUNTIF($U$14:$U$17,"&gt;"&amp;U17)</f>
        <v/>
      </c>
      <c r="W17" s="6" t="n">
        <v>4</v>
      </c>
      <c r="X17" s="6">
        <f>INDEX($B$14:$B$17,MATCH(W17,$L$14:$L$17,0))</f>
        <v/>
      </c>
      <c r="Y17" s="6">
        <f>INDEX($B$14:$B$17,MATCH(W17,$V$14:$V$17,0))</f>
        <v/>
      </c>
      <c r="Z17" s="6">
        <f>IF(AND(X17&lt;&gt;"",X17=Y17),1,0)</f>
        <v/>
      </c>
      <c r="AA17" s="6">
        <f>INDEX($J$14:$J$17,MATCH(W17,$L$14:$L$17,0))</f>
        <v/>
      </c>
      <c r="AB17" s="6">
        <f>INDEX($I$14:$I$17,MATCH(W17,$L$14:$L$17,0))</f>
        <v/>
      </c>
      <c r="AC17" s="6">
        <f>INDEX($G$14:$G$17,MATCH(W17,$L$14:$L$17,0))</f>
        <v/>
      </c>
      <c r="AD17" s="6">
        <f>INDEX($T$14:$T$17,MATCH(W17,$V$14:$V$17,0))</f>
        <v/>
      </c>
      <c r="AE17" s="6">
        <f>INDEX($S$14:$S$17,MATCH(W17,$V$14:$V$17,0))</f>
        <v/>
      </c>
      <c r="AF17" s="6">
        <f>INDEX($Q$14:$Q$17,MATCH(W17,$V$14:$V$17,0))</f>
        <v/>
      </c>
    </row>
    <row r="18">
      <c r="A18" s="6" t="inlineStr">
        <is>
          <t>E</t>
        </is>
      </c>
      <c r="B18" s="6" t="inlineStr">
        <is>
          <t>Alemania</t>
        </is>
      </c>
      <c r="C18" s="6">
        <f>SUMPRODUCT((Grupos!$B$2:$B$73=$A18)*((Grupos!$C$2:$C$73=$B18)+(Grupos!$D$2:$D$73=$B18))*(Grupos!$G$2:$G$73&lt;&gt;""))</f>
        <v/>
      </c>
      <c r="D18" s="6">
        <f>SUMPRODUCT((Grupos!$B$2:$B$73=$A18)*(Grupos!$C$2:$C$73=$B18)*(Grupos!$G$2:$G$73&gt;Grupos!$H$2:$H$73))+SUMPRODUCT((Grupos!$B$2:$B$73=$A18)*(Grupos!$D$2:$D$73=$B18)*(Grupos!$H$2:$H$73&gt;Grupos!$G$2:$G$73))</f>
        <v/>
      </c>
      <c r="E18" s="6">
        <f>SUMPRODUCT((Grupos!$B$2:$B$73=$A18)*((Grupos!$C$2:$C$73=$B18)+(Grupos!$D$2:$D$73=$B18))*(Grupos!$G$2:$G$73=Grupos!$H$2:$H$73)*(Grupos!$G$2:$G$73&lt;&gt;""))</f>
        <v/>
      </c>
      <c r="F18" s="6">
        <f>C18-D18-E18</f>
        <v/>
      </c>
      <c r="G18" s="6">
        <f>SUMPRODUCT((Grupos!$B$2:$B$73=$A18)*(Grupos!$C$2:$C$73=$B18)*Grupos!$G$2:$G$73)+SUMPRODUCT((Grupos!$B$2:$B$73=$A18)*(Grupos!$D$2:$D$73=$B18)*Grupos!$H$2:$H$73)</f>
        <v/>
      </c>
      <c r="H18" s="6">
        <f>SUMPRODUCT((Grupos!$B$2:$B$73=$A18)*(Grupos!$C$2:$C$73=$B18)*Grupos!$H$2:$H$73)+SUMPRODUCT((Grupos!$B$2:$B$73=$A18)*(Grupos!$D$2:$D$73=$B18)*Grupos!$G$2:$G$73)</f>
        <v/>
      </c>
      <c r="I18" s="6">
        <f>G18-H18</f>
        <v/>
      </c>
      <c r="J18" s="6">
        <f>D18*3+E18</f>
        <v/>
      </c>
      <c r="K18" s="6">
        <f>J18*1000000+I18*1000+G18*10-0</f>
        <v/>
      </c>
      <c r="L18" s="6">
        <f>1+COUNTIF($K$18:$K$21,"&gt;"&amp;K18)</f>
        <v/>
      </c>
      <c r="M18" s="6">
        <f>SUMPRODUCT((Grupos!$B$2:$B$73=$A18)*((Grupos!$C$2:$C$73=$B18)+(Grupos!$D$2:$D$73=$B18))*(Grupos!$E$2:$E$73&lt;&gt;""))</f>
        <v/>
      </c>
      <c r="N18" s="6">
        <f>SUMPRODUCT((Grupos!$B$2:$B$73=$A18)*(Grupos!$C$2:$C$73=$B18)*(Grupos!$E$2:$E$73&gt;Grupos!$F$2:$F$73))+SUMPRODUCT((Grupos!$B$2:$B$73=$A18)*(Grupos!$D$2:$D$73=$B18)*(Grupos!$F$2:$F$73&gt;Grupos!$E$2:$E$73))</f>
        <v/>
      </c>
      <c r="O18" s="6">
        <f>SUMPRODUCT((Grupos!$B$2:$B$73=$A18)*((Grupos!$C$2:$C$73=$B18)+(Grupos!$D$2:$D$73=$B18))*(Grupos!$E$2:$E$73=Grupos!$F$2:$F$73)*(Grupos!$E$2:$E$73&lt;&gt;""))</f>
        <v/>
      </c>
      <c r="P18" s="6">
        <f>M18-N18-O18</f>
        <v/>
      </c>
      <c r="Q18" s="6">
        <f>SUMPRODUCT((Grupos!$B$2:$B$73=$A18)*(Grupos!$C$2:$C$73=$B18)*Grupos!$E$2:$E$73)+SUMPRODUCT((Grupos!$B$2:$B$73=$A18)*(Grupos!$D$2:$D$73=$B18)*Grupos!$F$2:$F$73)</f>
        <v/>
      </c>
      <c r="R18" s="6">
        <f>SUMPRODUCT((Grupos!$B$2:$B$73=$A18)*(Grupos!$C$2:$C$73=$B18)*Grupos!$F$2:$F$73)+SUMPRODUCT((Grupos!$B$2:$B$73=$A18)*(Grupos!$D$2:$D$73=$B18)*Grupos!$E$2:$E$73)</f>
        <v/>
      </c>
      <c r="S18" s="6">
        <f>Q18-R18</f>
        <v/>
      </c>
      <c r="T18" s="6">
        <f>N18*3+O18</f>
        <v/>
      </c>
      <c r="U18" s="6">
        <f>T18*1000000+S18*1000+Q18*10-0</f>
        <v/>
      </c>
      <c r="V18" s="6">
        <f>1+COUNTIF($U$18:$U$21,"&gt;"&amp;U18)</f>
        <v/>
      </c>
      <c r="W18" s="6" t="n">
        <v>1</v>
      </c>
      <c r="X18" s="6">
        <f>INDEX($B$18:$B$21,MATCH(W18,$L$18:$L$21,0))</f>
        <v/>
      </c>
      <c r="Y18" s="6">
        <f>INDEX($B$18:$B$21,MATCH(W18,$V$18:$V$21,0))</f>
        <v/>
      </c>
      <c r="Z18" s="6">
        <f>IF(AND(X18&lt;&gt;"",X18=Y18),1,0)</f>
        <v/>
      </c>
      <c r="AA18" s="6">
        <f>INDEX($J$18:$J$21,MATCH(W18,$L$18:$L$21,0))</f>
        <v/>
      </c>
      <c r="AB18" s="6">
        <f>INDEX($I$18:$I$21,MATCH(W18,$L$18:$L$21,0))</f>
        <v/>
      </c>
      <c r="AC18" s="6">
        <f>INDEX($G$18:$G$21,MATCH(W18,$L$18:$L$21,0))</f>
        <v/>
      </c>
      <c r="AD18" s="6">
        <f>INDEX($T$18:$T$21,MATCH(W18,$V$18:$V$21,0))</f>
        <v/>
      </c>
      <c r="AE18" s="6">
        <f>INDEX($S$18:$S$21,MATCH(W18,$V$18:$V$21,0))</f>
        <v/>
      </c>
      <c r="AF18" s="6">
        <f>INDEX($Q$18:$Q$21,MATCH(W18,$V$18:$V$21,0))</f>
        <v/>
      </c>
    </row>
    <row r="19">
      <c r="A19" s="6" t="inlineStr">
        <is>
          <t>E</t>
        </is>
      </c>
      <c r="B19" s="6" t="inlineStr">
        <is>
          <t>Curazao</t>
        </is>
      </c>
      <c r="C19" s="6">
        <f>SUMPRODUCT((Grupos!$B$2:$B$73=$A19)*((Grupos!$C$2:$C$73=$B19)+(Grupos!$D$2:$D$73=$B19))*(Grupos!$G$2:$G$73&lt;&gt;""))</f>
        <v/>
      </c>
      <c r="D19" s="6">
        <f>SUMPRODUCT((Grupos!$B$2:$B$73=$A19)*(Grupos!$C$2:$C$73=$B19)*(Grupos!$G$2:$G$73&gt;Grupos!$H$2:$H$73))+SUMPRODUCT((Grupos!$B$2:$B$73=$A19)*(Grupos!$D$2:$D$73=$B19)*(Grupos!$H$2:$H$73&gt;Grupos!$G$2:$G$73))</f>
        <v/>
      </c>
      <c r="E19" s="6">
        <f>SUMPRODUCT((Grupos!$B$2:$B$73=$A19)*((Grupos!$C$2:$C$73=$B19)+(Grupos!$D$2:$D$73=$B19))*(Grupos!$G$2:$G$73=Grupos!$H$2:$H$73)*(Grupos!$G$2:$G$73&lt;&gt;""))</f>
        <v/>
      </c>
      <c r="F19" s="6">
        <f>C19-D19-E19</f>
        <v/>
      </c>
      <c r="G19" s="6">
        <f>SUMPRODUCT((Grupos!$B$2:$B$73=$A19)*(Grupos!$C$2:$C$73=$B19)*Grupos!$G$2:$G$73)+SUMPRODUCT((Grupos!$B$2:$B$73=$A19)*(Grupos!$D$2:$D$73=$B19)*Grupos!$H$2:$H$73)</f>
        <v/>
      </c>
      <c r="H19" s="6">
        <f>SUMPRODUCT((Grupos!$B$2:$B$73=$A19)*(Grupos!$C$2:$C$73=$B19)*Grupos!$H$2:$H$73)+SUMPRODUCT((Grupos!$B$2:$B$73=$A19)*(Grupos!$D$2:$D$73=$B19)*Grupos!$G$2:$G$73)</f>
        <v/>
      </c>
      <c r="I19" s="6">
        <f>G19-H19</f>
        <v/>
      </c>
      <c r="J19" s="6">
        <f>D19*3+E19</f>
        <v/>
      </c>
      <c r="K19" s="6">
        <f>J19*1000000+I19*1000+G19*10-1</f>
        <v/>
      </c>
      <c r="L19" s="6">
        <f>1+COUNTIF($K$18:$K$21,"&gt;"&amp;K19)</f>
        <v/>
      </c>
      <c r="M19" s="6">
        <f>SUMPRODUCT((Grupos!$B$2:$B$73=$A19)*((Grupos!$C$2:$C$73=$B19)+(Grupos!$D$2:$D$73=$B19))*(Grupos!$E$2:$E$73&lt;&gt;""))</f>
        <v/>
      </c>
      <c r="N19" s="6">
        <f>SUMPRODUCT((Grupos!$B$2:$B$73=$A19)*(Grupos!$C$2:$C$73=$B19)*(Grupos!$E$2:$E$73&gt;Grupos!$F$2:$F$73))+SUMPRODUCT((Grupos!$B$2:$B$73=$A19)*(Grupos!$D$2:$D$73=$B19)*(Grupos!$F$2:$F$73&gt;Grupos!$E$2:$E$73))</f>
        <v/>
      </c>
      <c r="O19" s="6">
        <f>SUMPRODUCT((Grupos!$B$2:$B$73=$A19)*((Grupos!$C$2:$C$73=$B19)+(Grupos!$D$2:$D$73=$B19))*(Grupos!$E$2:$E$73=Grupos!$F$2:$F$73)*(Grupos!$E$2:$E$73&lt;&gt;""))</f>
        <v/>
      </c>
      <c r="P19" s="6">
        <f>M19-N19-O19</f>
        <v/>
      </c>
      <c r="Q19" s="6">
        <f>SUMPRODUCT((Grupos!$B$2:$B$73=$A19)*(Grupos!$C$2:$C$73=$B19)*Grupos!$E$2:$E$73)+SUMPRODUCT((Grupos!$B$2:$B$73=$A19)*(Grupos!$D$2:$D$73=$B19)*Grupos!$F$2:$F$73)</f>
        <v/>
      </c>
      <c r="R19" s="6">
        <f>SUMPRODUCT((Grupos!$B$2:$B$73=$A19)*(Grupos!$C$2:$C$73=$B19)*Grupos!$F$2:$F$73)+SUMPRODUCT((Grupos!$B$2:$B$73=$A19)*(Grupos!$D$2:$D$73=$B19)*Grupos!$E$2:$E$73)</f>
        <v/>
      </c>
      <c r="S19" s="6">
        <f>Q19-R19</f>
        <v/>
      </c>
      <c r="T19" s="6">
        <f>N19*3+O19</f>
        <v/>
      </c>
      <c r="U19" s="6">
        <f>T19*1000000+S19*1000+Q19*10-1</f>
        <v/>
      </c>
      <c r="V19" s="6">
        <f>1+COUNTIF($U$18:$U$21,"&gt;"&amp;U19)</f>
        <v/>
      </c>
      <c r="W19" s="6" t="n">
        <v>2</v>
      </c>
      <c r="X19" s="6">
        <f>INDEX($B$18:$B$21,MATCH(W19,$L$18:$L$21,0))</f>
        <v/>
      </c>
      <c r="Y19" s="6">
        <f>INDEX($B$18:$B$21,MATCH(W19,$V$18:$V$21,0))</f>
        <v/>
      </c>
      <c r="Z19" s="6">
        <f>IF(AND(X19&lt;&gt;"",X19=Y19),1,0)</f>
        <v/>
      </c>
      <c r="AA19" s="6">
        <f>INDEX($J$18:$J$21,MATCH(W19,$L$18:$L$21,0))</f>
        <v/>
      </c>
      <c r="AB19" s="6">
        <f>INDEX($I$18:$I$21,MATCH(W19,$L$18:$L$21,0))</f>
        <v/>
      </c>
      <c r="AC19" s="6">
        <f>INDEX($G$18:$G$21,MATCH(W19,$L$18:$L$21,0))</f>
        <v/>
      </c>
      <c r="AD19" s="6">
        <f>INDEX($T$18:$T$21,MATCH(W19,$V$18:$V$21,0))</f>
        <v/>
      </c>
      <c r="AE19" s="6">
        <f>INDEX($S$18:$S$21,MATCH(W19,$V$18:$V$21,0))</f>
        <v/>
      </c>
      <c r="AF19" s="6">
        <f>INDEX($Q$18:$Q$21,MATCH(W19,$V$18:$V$21,0))</f>
        <v/>
      </c>
    </row>
    <row r="20">
      <c r="A20" s="6" t="inlineStr">
        <is>
          <t>E</t>
        </is>
      </c>
      <c r="B20" s="6" t="inlineStr">
        <is>
          <t>Costa de Marfil</t>
        </is>
      </c>
      <c r="C20" s="6">
        <f>SUMPRODUCT((Grupos!$B$2:$B$73=$A20)*((Grupos!$C$2:$C$73=$B20)+(Grupos!$D$2:$D$73=$B20))*(Grupos!$G$2:$G$73&lt;&gt;""))</f>
        <v/>
      </c>
      <c r="D20" s="6">
        <f>SUMPRODUCT((Grupos!$B$2:$B$73=$A20)*(Grupos!$C$2:$C$73=$B20)*(Grupos!$G$2:$G$73&gt;Grupos!$H$2:$H$73))+SUMPRODUCT((Grupos!$B$2:$B$73=$A20)*(Grupos!$D$2:$D$73=$B20)*(Grupos!$H$2:$H$73&gt;Grupos!$G$2:$G$73))</f>
        <v/>
      </c>
      <c r="E20" s="6">
        <f>SUMPRODUCT((Grupos!$B$2:$B$73=$A20)*((Grupos!$C$2:$C$73=$B20)+(Grupos!$D$2:$D$73=$B20))*(Grupos!$G$2:$G$73=Grupos!$H$2:$H$73)*(Grupos!$G$2:$G$73&lt;&gt;""))</f>
        <v/>
      </c>
      <c r="F20" s="6">
        <f>C20-D20-E20</f>
        <v/>
      </c>
      <c r="G20" s="6">
        <f>SUMPRODUCT((Grupos!$B$2:$B$73=$A20)*(Grupos!$C$2:$C$73=$B20)*Grupos!$G$2:$G$73)+SUMPRODUCT((Grupos!$B$2:$B$73=$A20)*(Grupos!$D$2:$D$73=$B20)*Grupos!$H$2:$H$73)</f>
        <v/>
      </c>
      <c r="H20" s="6">
        <f>SUMPRODUCT((Grupos!$B$2:$B$73=$A20)*(Grupos!$C$2:$C$73=$B20)*Grupos!$H$2:$H$73)+SUMPRODUCT((Grupos!$B$2:$B$73=$A20)*(Grupos!$D$2:$D$73=$B20)*Grupos!$G$2:$G$73)</f>
        <v/>
      </c>
      <c r="I20" s="6">
        <f>G20-H20</f>
        <v/>
      </c>
      <c r="J20" s="6">
        <f>D20*3+E20</f>
        <v/>
      </c>
      <c r="K20" s="6">
        <f>J20*1000000+I20*1000+G20*10-2</f>
        <v/>
      </c>
      <c r="L20" s="6">
        <f>1+COUNTIF($K$18:$K$21,"&gt;"&amp;K20)</f>
        <v/>
      </c>
      <c r="M20" s="6">
        <f>SUMPRODUCT((Grupos!$B$2:$B$73=$A20)*((Grupos!$C$2:$C$73=$B20)+(Grupos!$D$2:$D$73=$B20))*(Grupos!$E$2:$E$73&lt;&gt;""))</f>
        <v/>
      </c>
      <c r="N20" s="6">
        <f>SUMPRODUCT((Grupos!$B$2:$B$73=$A20)*(Grupos!$C$2:$C$73=$B20)*(Grupos!$E$2:$E$73&gt;Grupos!$F$2:$F$73))+SUMPRODUCT((Grupos!$B$2:$B$73=$A20)*(Grupos!$D$2:$D$73=$B20)*(Grupos!$F$2:$F$73&gt;Grupos!$E$2:$E$73))</f>
        <v/>
      </c>
      <c r="O20" s="6">
        <f>SUMPRODUCT((Grupos!$B$2:$B$73=$A20)*((Grupos!$C$2:$C$73=$B20)+(Grupos!$D$2:$D$73=$B20))*(Grupos!$E$2:$E$73=Grupos!$F$2:$F$73)*(Grupos!$E$2:$E$73&lt;&gt;""))</f>
        <v/>
      </c>
      <c r="P20" s="6">
        <f>M20-N20-O20</f>
        <v/>
      </c>
      <c r="Q20" s="6">
        <f>SUMPRODUCT((Grupos!$B$2:$B$73=$A20)*(Grupos!$C$2:$C$73=$B20)*Grupos!$E$2:$E$73)+SUMPRODUCT((Grupos!$B$2:$B$73=$A20)*(Grupos!$D$2:$D$73=$B20)*Grupos!$F$2:$F$73)</f>
        <v/>
      </c>
      <c r="R20" s="6">
        <f>SUMPRODUCT((Grupos!$B$2:$B$73=$A20)*(Grupos!$C$2:$C$73=$B20)*Grupos!$F$2:$F$73)+SUMPRODUCT((Grupos!$B$2:$B$73=$A20)*(Grupos!$D$2:$D$73=$B20)*Grupos!$E$2:$E$73)</f>
        <v/>
      </c>
      <c r="S20" s="6">
        <f>Q20-R20</f>
        <v/>
      </c>
      <c r="T20" s="6">
        <f>N20*3+O20</f>
        <v/>
      </c>
      <c r="U20" s="6">
        <f>T20*1000000+S20*1000+Q20*10-2</f>
        <v/>
      </c>
      <c r="V20" s="6">
        <f>1+COUNTIF($U$18:$U$21,"&gt;"&amp;U20)</f>
        <v/>
      </c>
      <c r="W20" s="6" t="n">
        <v>3</v>
      </c>
      <c r="X20" s="6">
        <f>INDEX($B$18:$B$21,MATCH(W20,$L$18:$L$21,0))</f>
        <v/>
      </c>
      <c r="Y20" s="6">
        <f>INDEX($B$18:$B$21,MATCH(W20,$V$18:$V$21,0))</f>
        <v/>
      </c>
      <c r="Z20" s="6">
        <f>IF(AND(X20&lt;&gt;"",X20=Y20),1,0)</f>
        <v/>
      </c>
      <c r="AA20" s="6">
        <f>INDEX($J$18:$J$21,MATCH(W20,$L$18:$L$21,0))</f>
        <v/>
      </c>
      <c r="AB20" s="6">
        <f>INDEX($I$18:$I$21,MATCH(W20,$L$18:$L$21,0))</f>
        <v/>
      </c>
      <c r="AC20" s="6">
        <f>INDEX($G$18:$G$21,MATCH(W20,$L$18:$L$21,0))</f>
        <v/>
      </c>
      <c r="AD20" s="6">
        <f>INDEX($T$18:$T$21,MATCH(W20,$V$18:$V$21,0))</f>
        <v/>
      </c>
      <c r="AE20" s="6">
        <f>INDEX($S$18:$S$21,MATCH(W20,$V$18:$V$21,0))</f>
        <v/>
      </c>
      <c r="AF20" s="6">
        <f>INDEX($Q$18:$Q$21,MATCH(W20,$V$18:$V$21,0))</f>
        <v/>
      </c>
    </row>
    <row r="21">
      <c r="A21" s="6" t="inlineStr">
        <is>
          <t>E</t>
        </is>
      </c>
      <c r="B21" s="6" t="inlineStr">
        <is>
          <t>Ecuador</t>
        </is>
      </c>
      <c r="C21" s="6">
        <f>SUMPRODUCT((Grupos!$B$2:$B$73=$A21)*((Grupos!$C$2:$C$73=$B21)+(Grupos!$D$2:$D$73=$B21))*(Grupos!$G$2:$G$73&lt;&gt;""))</f>
        <v/>
      </c>
      <c r="D21" s="6">
        <f>SUMPRODUCT((Grupos!$B$2:$B$73=$A21)*(Grupos!$C$2:$C$73=$B21)*(Grupos!$G$2:$G$73&gt;Grupos!$H$2:$H$73))+SUMPRODUCT((Grupos!$B$2:$B$73=$A21)*(Grupos!$D$2:$D$73=$B21)*(Grupos!$H$2:$H$73&gt;Grupos!$G$2:$G$73))</f>
        <v/>
      </c>
      <c r="E21" s="6">
        <f>SUMPRODUCT((Grupos!$B$2:$B$73=$A21)*((Grupos!$C$2:$C$73=$B21)+(Grupos!$D$2:$D$73=$B21))*(Grupos!$G$2:$G$73=Grupos!$H$2:$H$73)*(Grupos!$G$2:$G$73&lt;&gt;""))</f>
        <v/>
      </c>
      <c r="F21" s="6">
        <f>C21-D21-E21</f>
        <v/>
      </c>
      <c r="G21" s="6">
        <f>SUMPRODUCT((Grupos!$B$2:$B$73=$A21)*(Grupos!$C$2:$C$73=$B21)*Grupos!$G$2:$G$73)+SUMPRODUCT((Grupos!$B$2:$B$73=$A21)*(Grupos!$D$2:$D$73=$B21)*Grupos!$H$2:$H$73)</f>
        <v/>
      </c>
      <c r="H21" s="6">
        <f>SUMPRODUCT((Grupos!$B$2:$B$73=$A21)*(Grupos!$C$2:$C$73=$B21)*Grupos!$H$2:$H$73)+SUMPRODUCT((Grupos!$B$2:$B$73=$A21)*(Grupos!$D$2:$D$73=$B21)*Grupos!$G$2:$G$73)</f>
        <v/>
      </c>
      <c r="I21" s="6">
        <f>G21-H21</f>
        <v/>
      </c>
      <c r="J21" s="6">
        <f>D21*3+E21</f>
        <v/>
      </c>
      <c r="K21" s="6">
        <f>J21*1000000+I21*1000+G21*10-3</f>
        <v/>
      </c>
      <c r="L21" s="6">
        <f>1+COUNTIF($K$18:$K$21,"&gt;"&amp;K21)</f>
        <v/>
      </c>
      <c r="M21" s="6">
        <f>SUMPRODUCT((Grupos!$B$2:$B$73=$A21)*((Grupos!$C$2:$C$73=$B21)+(Grupos!$D$2:$D$73=$B21))*(Grupos!$E$2:$E$73&lt;&gt;""))</f>
        <v/>
      </c>
      <c r="N21" s="6">
        <f>SUMPRODUCT((Grupos!$B$2:$B$73=$A21)*(Grupos!$C$2:$C$73=$B21)*(Grupos!$E$2:$E$73&gt;Grupos!$F$2:$F$73))+SUMPRODUCT((Grupos!$B$2:$B$73=$A21)*(Grupos!$D$2:$D$73=$B21)*(Grupos!$F$2:$F$73&gt;Grupos!$E$2:$E$73))</f>
        <v/>
      </c>
      <c r="O21" s="6">
        <f>SUMPRODUCT((Grupos!$B$2:$B$73=$A21)*((Grupos!$C$2:$C$73=$B21)+(Grupos!$D$2:$D$73=$B21))*(Grupos!$E$2:$E$73=Grupos!$F$2:$F$73)*(Grupos!$E$2:$E$73&lt;&gt;""))</f>
        <v/>
      </c>
      <c r="P21" s="6">
        <f>M21-N21-O21</f>
        <v/>
      </c>
      <c r="Q21" s="6">
        <f>SUMPRODUCT((Grupos!$B$2:$B$73=$A21)*(Grupos!$C$2:$C$73=$B21)*Grupos!$E$2:$E$73)+SUMPRODUCT((Grupos!$B$2:$B$73=$A21)*(Grupos!$D$2:$D$73=$B21)*Grupos!$F$2:$F$73)</f>
        <v/>
      </c>
      <c r="R21" s="6">
        <f>SUMPRODUCT((Grupos!$B$2:$B$73=$A21)*(Grupos!$C$2:$C$73=$B21)*Grupos!$F$2:$F$73)+SUMPRODUCT((Grupos!$B$2:$B$73=$A21)*(Grupos!$D$2:$D$73=$B21)*Grupos!$E$2:$E$73)</f>
        <v/>
      </c>
      <c r="S21" s="6">
        <f>Q21-R21</f>
        <v/>
      </c>
      <c r="T21" s="6">
        <f>N21*3+O21</f>
        <v/>
      </c>
      <c r="U21" s="6">
        <f>T21*1000000+S21*1000+Q21*10-3</f>
        <v/>
      </c>
      <c r="V21" s="6">
        <f>1+COUNTIF($U$18:$U$21,"&gt;"&amp;U21)</f>
        <v/>
      </c>
      <c r="W21" s="6" t="n">
        <v>4</v>
      </c>
      <c r="X21" s="6">
        <f>INDEX($B$18:$B$21,MATCH(W21,$L$18:$L$21,0))</f>
        <v/>
      </c>
      <c r="Y21" s="6">
        <f>INDEX($B$18:$B$21,MATCH(W21,$V$18:$V$21,0))</f>
        <v/>
      </c>
      <c r="Z21" s="6">
        <f>IF(AND(X21&lt;&gt;"",X21=Y21),1,0)</f>
        <v/>
      </c>
      <c r="AA21" s="6">
        <f>INDEX($J$18:$J$21,MATCH(W21,$L$18:$L$21,0))</f>
        <v/>
      </c>
      <c r="AB21" s="6">
        <f>INDEX($I$18:$I$21,MATCH(W21,$L$18:$L$21,0))</f>
        <v/>
      </c>
      <c r="AC21" s="6">
        <f>INDEX($G$18:$G$21,MATCH(W21,$L$18:$L$21,0))</f>
        <v/>
      </c>
      <c r="AD21" s="6">
        <f>INDEX($T$18:$T$21,MATCH(W21,$V$18:$V$21,0))</f>
        <v/>
      </c>
      <c r="AE21" s="6">
        <f>INDEX($S$18:$S$21,MATCH(W21,$V$18:$V$21,0))</f>
        <v/>
      </c>
      <c r="AF21" s="6">
        <f>INDEX($Q$18:$Q$21,MATCH(W21,$V$18:$V$21,0))</f>
        <v/>
      </c>
    </row>
    <row r="22">
      <c r="A22" s="6" t="inlineStr">
        <is>
          <t>F</t>
        </is>
      </c>
      <c r="B22" s="6" t="inlineStr">
        <is>
          <t>Países Bajos</t>
        </is>
      </c>
      <c r="C22" s="6">
        <f>SUMPRODUCT((Grupos!$B$2:$B$73=$A22)*((Grupos!$C$2:$C$73=$B22)+(Grupos!$D$2:$D$73=$B22))*(Grupos!$G$2:$G$73&lt;&gt;""))</f>
        <v/>
      </c>
      <c r="D22" s="6">
        <f>SUMPRODUCT((Grupos!$B$2:$B$73=$A22)*(Grupos!$C$2:$C$73=$B22)*(Grupos!$G$2:$G$73&gt;Grupos!$H$2:$H$73))+SUMPRODUCT((Grupos!$B$2:$B$73=$A22)*(Grupos!$D$2:$D$73=$B22)*(Grupos!$H$2:$H$73&gt;Grupos!$G$2:$G$73))</f>
        <v/>
      </c>
      <c r="E22" s="6">
        <f>SUMPRODUCT((Grupos!$B$2:$B$73=$A22)*((Grupos!$C$2:$C$73=$B22)+(Grupos!$D$2:$D$73=$B22))*(Grupos!$G$2:$G$73=Grupos!$H$2:$H$73)*(Grupos!$G$2:$G$73&lt;&gt;""))</f>
        <v/>
      </c>
      <c r="F22" s="6">
        <f>C22-D22-E22</f>
        <v/>
      </c>
      <c r="G22" s="6">
        <f>SUMPRODUCT((Grupos!$B$2:$B$73=$A22)*(Grupos!$C$2:$C$73=$B22)*Grupos!$G$2:$G$73)+SUMPRODUCT((Grupos!$B$2:$B$73=$A22)*(Grupos!$D$2:$D$73=$B22)*Grupos!$H$2:$H$73)</f>
        <v/>
      </c>
      <c r="H22" s="6">
        <f>SUMPRODUCT((Grupos!$B$2:$B$73=$A22)*(Grupos!$C$2:$C$73=$B22)*Grupos!$H$2:$H$73)+SUMPRODUCT((Grupos!$B$2:$B$73=$A22)*(Grupos!$D$2:$D$73=$B22)*Grupos!$G$2:$G$73)</f>
        <v/>
      </c>
      <c r="I22" s="6">
        <f>G22-H22</f>
        <v/>
      </c>
      <c r="J22" s="6">
        <f>D22*3+E22</f>
        <v/>
      </c>
      <c r="K22" s="6">
        <f>J22*1000000+I22*1000+G22*10-0</f>
        <v/>
      </c>
      <c r="L22" s="6">
        <f>1+COUNTIF($K$22:$K$25,"&gt;"&amp;K22)</f>
        <v/>
      </c>
      <c r="M22" s="6">
        <f>SUMPRODUCT((Grupos!$B$2:$B$73=$A22)*((Grupos!$C$2:$C$73=$B22)+(Grupos!$D$2:$D$73=$B22))*(Grupos!$E$2:$E$73&lt;&gt;""))</f>
        <v/>
      </c>
      <c r="N22" s="6">
        <f>SUMPRODUCT((Grupos!$B$2:$B$73=$A22)*(Grupos!$C$2:$C$73=$B22)*(Grupos!$E$2:$E$73&gt;Grupos!$F$2:$F$73))+SUMPRODUCT((Grupos!$B$2:$B$73=$A22)*(Grupos!$D$2:$D$73=$B22)*(Grupos!$F$2:$F$73&gt;Grupos!$E$2:$E$73))</f>
        <v/>
      </c>
      <c r="O22" s="6">
        <f>SUMPRODUCT((Grupos!$B$2:$B$73=$A22)*((Grupos!$C$2:$C$73=$B22)+(Grupos!$D$2:$D$73=$B22))*(Grupos!$E$2:$E$73=Grupos!$F$2:$F$73)*(Grupos!$E$2:$E$73&lt;&gt;""))</f>
        <v/>
      </c>
      <c r="P22" s="6">
        <f>M22-N22-O22</f>
        <v/>
      </c>
      <c r="Q22" s="6">
        <f>SUMPRODUCT((Grupos!$B$2:$B$73=$A22)*(Grupos!$C$2:$C$73=$B22)*Grupos!$E$2:$E$73)+SUMPRODUCT((Grupos!$B$2:$B$73=$A22)*(Grupos!$D$2:$D$73=$B22)*Grupos!$F$2:$F$73)</f>
        <v/>
      </c>
      <c r="R22" s="6">
        <f>SUMPRODUCT((Grupos!$B$2:$B$73=$A22)*(Grupos!$C$2:$C$73=$B22)*Grupos!$F$2:$F$73)+SUMPRODUCT((Grupos!$B$2:$B$73=$A22)*(Grupos!$D$2:$D$73=$B22)*Grupos!$E$2:$E$73)</f>
        <v/>
      </c>
      <c r="S22" s="6">
        <f>Q22-R22</f>
        <v/>
      </c>
      <c r="T22" s="6">
        <f>N22*3+O22</f>
        <v/>
      </c>
      <c r="U22" s="6">
        <f>T22*1000000+S22*1000+Q22*10-0</f>
        <v/>
      </c>
      <c r="V22" s="6">
        <f>1+COUNTIF($U$22:$U$25,"&gt;"&amp;U22)</f>
        <v/>
      </c>
      <c r="W22" s="6" t="n">
        <v>1</v>
      </c>
      <c r="X22" s="6">
        <f>INDEX($B$22:$B$25,MATCH(W22,$L$22:$L$25,0))</f>
        <v/>
      </c>
      <c r="Y22" s="6">
        <f>INDEX($B$22:$B$25,MATCH(W22,$V$22:$V$25,0))</f>
        <v/>
      </c>
      <c r="Z22" s="6">
        <f>IF(AND(X22&lt;&gt;"",X22=Y22),1,0)</f>
        <v/>
      </c>
      <c r="AA22" s="6">
        <f>INDEX($J$22:$J$25,MATCH(W22,$L$22:$L$25,0))</f>
        <v/>
      </c>
      <c r="AB22" s="6">
        <f>INDEX($I$22:$I$25,MATCH(W22,$L$22:$L$25,0))</f>
        <v/>
      </c>
      <c r="AC22" s="6">
        <f>INDEX($G$22:$G$25,MATCH(W22,$L$22:$L$25,0))</f>
        <v/>
      </c>
      <c r="AD22" s="6">
        <f>INDEX($T$22:$T$25,MATCH(W22,$V$22:$V$25,0))</f>
        <v/>
      </c>
      <c r="AE22" s="6">
        <f>INDEX($S$22:$S$25,MATCH(W22,$V$22:$V$25,0))</f>
        <v/>
      </c>
      <c r="AF22" s="6">
        <f>INDEX($Q$22:$Q$25,MATCH(W22,$V$22:$V$25,0))</f>
        <v/>
      </c>
    </row>
    <row r="23">
      <c r="A23" s="6" t="inlineStr">
        <is>
          <t>F</t>
        </is>
      </c>
      <c r="B23" s="6" t="inlineStr">
        <is>
          <t>Japón</t>
        </is>
      </c>
      <c r="C23" s="6">
        <f>SUMPRODUCT((Grupos!$B$2:$B$73=$A23)*((Grupos!$C$2:$C$73=$B23)+(Grupos!$D$2:$D$73=$B23))*(Grupos!$G$2:$G$73&lt;&gt;""))</f>
        <v/>
      </c>
      <c r="D23" s="6">
        <f>SUMPRODUCT((Grupos!$B$2:$B$73=$A23)*(Grupos!$C$2:$C$73=$B23)*(Grupos!$G$2:$G$73&gt;Grupos!$H$2:$H$73))+SUMPRODUCT((Grupos!$B$2:$B$73=$A23)*(Grupos!$D$2:$D$73=$B23)*(Grupos!$H$2:$H$73&gt;Grupos!$G$2:$G$73))</f>
        <v/>
      </c>
      <c r="E23" s="6">
        <f>SUMPRODUCT((Grupos!$B$2:$B$73=$A23)*((Grupos!$C$2:$C$73=$B23)+(Grupos!$D$2:$D$73=$B23))*(Grupos!$G$2:$G$73=Grupos!$H$2:$H$73)*(Grupos!$G$2:$G$73&lt;&gt;""))</f>
        <v/>
      </c>
      <c r="F23" s="6">
        <f>C23-D23-E23</f>
        <v/>
      </c>
      <c r="G23" s="6">
        <f>SUMPRODUCT((Grupos!$B$2:$B$73=$A23)*(Grupos!$C$2:$C$73=$B23)*Grupos!$G$2:$G$73)+SUMPRODUCT((Grupos!$B$2:$B$73=$A23)*(Grupos!$D$2:$D$73=$B23)*Grupos!$H$2:$H$73)</f>
        <v/>
      </c>
      <c r="H23" s="6">
        <f>SUMPRODUCT((Grupos!$B$2:$B$73=$A23)*(Grupos!$C$2:$C$73=$B23)*Grupos!$H$2:$H$73)+SUMPRODUCT((Grupos!$B$2:$B$73=$A23)*(Grupos!$D$2:$D$73=$B23)*Grupos!$G$2:$G$73)</f>
        <v/>
      </c>
      <c r="I23" s="6">
        <f>G23-H23</f>
        <v/>
      </c>
      <c r="J23" s="6">
        <f>D23*3+E23</f>
        <v/>
      </c>
      <c r="K23" s="6">
        <f>J23*1000000+I23*1000+G23*10-1</f>
        <v/>
      </c>
      <c r="L23" s="6">
        <f>1+COUNTIF($K$22:$K$25,"&gt;"&amp;K23)</f>
        <v/>
      </c>
      <c r="M23" s="6">
        <f>SUMPRODUCT((Grupos!$B$2:$B$73=$A23)*((Grupos!$C$2:$C$73=$B23)+(Grupos!$D$2:$D$73=$B23))*(Grupos!$E$2:$E$73&lt;&gt;""))</f>
        <v/>
      </c>
      <c r="N23" s="6">
        <f>SUMPRODUCT((Grupos!$B$2:$B$73=$A23)*(Grupos!$C$2:$C$73=$B23)*(Grupos!$E$2:$E$73&gt;Grupos!$F$2:$F$73))+SUMPRODUCT((Grupos!$B$2:$B$73=$A23)*(Grupos!$D$2:$D$73=$B23)*(Grupos!$F$2:$F$73&gt;Grupos!$E$2:$E$73))</f>
        <v/>
      </c>
      <c r="O23" s="6">
        <f>SUMPRODUCT((Grupos!$B$2:$B$73=$A23)*((Grupos!$C$2:$C$73=$B23)+(Grupos!$D$2:$D$73=$B23))*(Grupos!$E$2:$E$73=Grupos!$F$2:$F$73)*(Grupos!$E$2:$E$73&lt;&gt;""))</f>
        <v/>
      </c>
      <c r="P23" s="6">
        <f>M23-N23-O23</f>
        <v/>
      </c>
      <c r="Q23" s="6">
        <f>SUMPRODUCT((Grupos!$B$2:$B$73=$A23)*(Grupos!$C$2:$C$73=$B23)*Grupos!$E$2:$E$73)+SUMPRODUCT((Grupos!$B$2:$B$73=$A23)*(Grupos!$D$2:$D$73=$B23)*Grupos!$F$2:$F$73)</f>
        <v/>
      </c>
      <c r="R23" s="6">
        <f>SUMPRODUCT((Grupos!$B$2:$B$73=$A23)*(Grupos!$C$2:$C$73=$B23)*Grupos!$F$2:$F$73)+SUMPRODUCT((Grupos!$B$2:$B$73=$A23)*(Grupos!$D$2:$D$73=$B23)*Grupos!$E$2:$E$73)</f>
        <v/>
      </c>
      <c r="S23" s="6">
        <f>Q23-R23</f>
        <v/>
      </c>
      <c r="T23" s="6">
        <f>N23*3+O23</f>
        <v/>
      </c>
      <c r="U23" s="6">
        <f>T23*1000000+S23*1000+Q23*10-1</f>
        <v/>
      </c>
      <c r="V23" s="6">
        <f>1+COUNTIF($U$22:$U$25,"&gt;"&amp;U23)</f>
        <v/>
      </c>
      <c r="W23" s="6" t="n">
        <v>2</v>
      </c>
      <c r="X23" s="6">
        <f>INDEX($B$22:$B$25,MATCH(W23,$L$22:$L$25,0))</f>
        <v/>
      </c>
      <c r="Y23" s="6">
        <f>INDEX($B$22:$B$25,MATCH(W23,$V$22:$V$25,0))</f>
        <v/>
      </c>
      <c r="Z23" s="6">
        <f>IF(AND(X23&lt;&gt;"",X23=Y23),1,0)</f>
        <v/>
      </c>
      <c r="AA23" s="6">
        <f>INDEX($J$22:$J$25,MATCH(W23,$L$22:$L$25,0))</f>
        <v/>
      </c>
      <c r="AB23" s="6">
        <f>INDEX($I$22:$I$25,MATCH(W23,$L$22:$L$25,0))</f>
        <v/>
      </c>
      <c r="AC23" s="6">
        <f>INDEX($G$22:$G$25,MATCH(W23,$L$22:$L$25,0))</f>
        <v/>
      </c>
      <c r="AD23" s="6">
        <f>INDEX($T$22:$T$25,MATCH(W23,$V$22:$V$25,0))</f>
        <v/>
      </c>
      <c r="AE23" s="6">
        <f>INDEX($S$22:$S$25,MATCH(W23,$V$22:$V$25,0))</f>
        <v/>
      </c>
      <c r="AF23" s="6">
        <f>INDEX($Q$22:$Q$25,MATCH(W23,$V$22:$V$25,0))</f>
        <v/>
      </c>
    </row>
    <row r="24">
      <c r="A24" s="6" t="inlineStr">
        <is>
          <t>F</t>
        </is>
      </c>
      <c r="B24" s="6" t="inlineStr">
        <is>
          <t>Suecia</t>
        </is>
      </c>
      <c r="C24" s="6">
        <f>SUMPRODUCT((Grupos!$B$2:$B$73=$A24)*((Grupos!$C$2:$C$73=$B24)+(Grupos!$D$2:$D$73=$B24))*(Grupos!$G$2:$G$73&lt;&gt;""))</f>
        <v/>
      </c>
      <c r="D24" s="6">
        <f>SUMPRODUCT((Grupos!$B$2:$B$73=$A24)*(Grupos!$C$2:$C$73=$B24)*(Grupos!$G$2:$G$73&gt;Grupos!$H$2:$H$73))+SUMPRODUCT((Grupos!$B$2:$B$73=$A24)*(Grupos!$D$2:$D$73=$B24)*(Grupos!$H$2:$H$73&gt;Grupos!$G$2:$G$73))</f>
        <v/>
      </c>
      <c r="E24" s="6">
        <f>SUMPRODUCT((Grupos!$B$2:$B$73=$A24)*((Grupos!$C$2:$C$73=$B24)+(Grupos!$D$2:$D$73=$B24))*(Grupos!$G$2:$G$73=Grupos!$H$2:$H$73)*(Grupos!$G$2:$G$73&lt;&gt;""))</f>
        <v/>
      </c>
      <c r="F24" s="6">
        <f>C24-D24-E24</f>
        <v/>
      </c>
      <c r="G24" s="6">
        <f>SUMPRODUCT((Grupos!$B$2:$B$73=$A24)*(Grupos!$C$2:$C$73=$B24)*Grupos!$G$2:$G$73)+SUMPRODUCT((Grupos!$B$2:$B$73=$A24)*(Grupos!$D$2:$D$73=$B24)*Grupos!$H$2:$H$73)</f>
        <v/>
      </c>
      <c r="H24" s="6">
        <f>SUMPRODUCT((Grupos!$B$2:$B$73=$A24)*(Grupos!$C$2:$C$73=$B24)*Grupos!$H$2:$H$73)+SUMPRODUCT((Grupos!$B$2:$B$73=$A24)*(Grupos!$D$2:$D$73=$B24)*Grupos!$G$2:$G$73)</f>
        <v/>
      </c>
      <c r="I24" s="6">
        <f>G24-H24</f>
        <v/>
      </c>
      <c r="J24" s="6">
        <f>D24*3+E24</f>
        <v/>
      </c>
      <c r="K24" s="6">
        <f>J24*1000000+I24*1000+G24*10-2</f>
        <v/>
      </c>
      <c r="L24" s="6">
        <f>1+COUNTIF($K$22:$K$25,"&gt;"&amp;K24)</f>
        <v/>
      </c>
      <c r="M24" s="6">
        <f>SUMPRODUCT((Grupos!$B$2:$B$73=$A24)*((Grupos!$C$2:$C$73=$B24)+(Grupos!$D$2:$D$73=$B24))*(Grupos!$E$2:$E$73&lt;&gt;""))</f>
        <v/>
      </c>
      <c r="N24" s="6">
        <f>SUMPRODUCT((Grupos!$B$2:$B$73=$A24)*(Grupos!$C$2:$C$73=$B24)*(Grupos!$E$2:$E$73&gt;Grupos!$F$2:$F$73))+SUMPRODUCT((Grupos!$B$2:$B$73=$A24)*(Grupos!$D$2:$D$73=$B24)*(Grupos!$F$2:$F$73&gt;Grupos!$E$2:$E$73))</f>
        <v/>
      </c>
      <c r="O24" s="6">
        <f>SUMPRODUCT((Grupos!$B$2:$B$73=$A24)*((Grupos!$C$2:$C$73=$B24)+(Grupos!$D$2:$D$73=$B24))*(Grupos!$E$2:$E$73=Grupos!$F$2:$F$73)*(Grupos!$E$2:$E$73&lt;&gt;""))</f>
        <v/>
      </c>
      <c r="P24" s="6">
        <f>M24-N24-O24</f>
        <v/>
      </c>
      <c r="Q24" s="6">
        <f>SUMPRODUCT((Grupos!$B$2:$B$73=$A24)*(Grupos!$C$2:$C$73=$B24)*Grupos!$E$2:$E$73)+SUMPRODUCT((Grupos!$B$2:$B$73=$A24)*(Grupos!$D$2:$D$73=$B24)*Grupos!$F$2:$F$73)</f>
        <v/>
      </c>
      <c r="R24" s="6">
        <f>SUMPRODUCT((Grupos!$B$2:$B$73=$A24)*(Grupos!$C$2:$C$73=$B24)*Grupos!$F$2:$F$73)+SUMPRODUCT((Grupos!$B$2:$B$73=$A24)*(Grupos!$D$2:$D$73=$B24)*Grupos!$E$2:$E$73)</f>
        <v/>
      </c>
      <c r="S24" s="6">
        <f>Q24-R24</f>
        <v/>
      </c>
      <c r="T24" s="6">
        <f>N24*3+O24</f>
        <v/>
      </c>
      <c r="U24" s="6">
        <f>T24*1000000+S24*1000+Q24*10-2</f>
        <v/>
      </c>
      <c r="V24" s="6">
        <f>1+COUNTIF($U$22:$U$25,"&gt;"&amp;U24)</f>
        <v/>
      </c>
      <c r="W24" s="6" t="n">
        <v>3</v>
      </c>
      <c r="X24" s="6">
        <f>INDEX($B$22:$B$25,MATCH(W24,$L$22:$L$25,0))</f>
        <v/>
      </c>
      <c r="Y24" s="6">
        <f>INDEX($B$22:$B$25,MATCH(W24,$V$22:$V$25,0))</f>
        <v/>
      </c>
      <c r="Z24" s="6">
        <f>IF(AND(X24&lt;&gt;"",X24=Y24),1,0)</f>
        <v/>
      </c>
      <c r="AA24" s="6">
        <f>INDEX($J$22:$J$25,MATCH(W24,$L$22:$L$25,0))</f>
        <v/>
      </c>
      <c r="AB24" s="6">
        <f>INDEX($I$22:$I$25,MATCH(W24,$L$22:$L$25,0))</f>
        <v/>
      </c>
      <c r="AC24" s="6">
        <f>INDEX($G$22:$G$25,MATCH(W24,$L$22:$L$25,0))</f>
        <v/>
      </c>
      <c r="AD24" s="6">
        <f>INDEX($T$22:$T$25,MATCH(W24,$V$22:$V$25,0))</f>
        <v/>
      </c>
      <c r="AE24" s="6">
        <f>INDEX($S$22:$S$25,MATCH(W24,$V$22:$V$25,0))</f>
        <v/>
      </c>
      <c r="AF24" s="6">
        <f>INDEX($Q$22:$Q$25,MATCH(W24,$V$22:$V$25,0))</f>
        <v/>
      </c>
    </row>
    <row r="25">
      <c r="A25" s="6" t="inlineStr">
        <is>
          <t>F</t>
        </is>
      </c>
      <c r="B25" s="6" t="inlineStr">
        <is>
          <t>Túnez</t>
        </is>
      </c>
      <c r="C25" s="6">
        <f>SUMPRODUCT((Grupos!$B$2:$B$73=$A25)*((Grupos!$C$2:$C$73=$B25)+(Grupos!$D$2:$D$73=$B25))*(Grupos!$G$2:$G$73&lt;&gt;""))</f>
        <v/>
      </c>
      <c r="D25" s="6">
        <f>SUMPRODUCT((Grupos!$B$2:$B$73=$A25)*(Grupos!$C$2:$C$73=$B25)*(Grupos!$G$2:$G$73&gt;Grupos!$H$2:$H$73))+SUMPRODUCT((Grupos!$B$2:$B$73=$A25)*(Grupos!$D$2:$D$73=$B25)*(Grupos!$H$2:$H$73&gt;Grupos!$G$2:$G$73))</f>
        <v/>
      </c>
      <c r="E25" s="6">
        <f>SUMPRODUCT((Grupos!$B$2:$B$73=$A25)*((Grupos!$C$2:$C$73=$B25)+(Grupos!$D$2:$D$73=$B25))*(Grupos!$G$2:$G$73=Grupos!$H$2:$H$73)*(Grupos!$G$2:$G$73&lt;&gt;""))</f>
        <v/>
      </c>
      <c r="F25" s="6">
        <f>C25-D25-E25</f>
        <v/>
      </c>
      <c r="G25" s="6">
        <f>SUMPRODUCT((Grupos!$B$2:$B$73=$A25)*(Grupos!$C$2:$C$73=$B25)*Grupos!$G$2:$G$73)+SUMPRODUCT((Grupos!$B$2:$B$73=$A25)*(Grupos!$D$2:$D$73=$B25)*Grupos!$H$2:$H$73)</f>
        <v/>
      </c>
      <c r="H25" s="6">
        <f>SUMPRODUCT((Grupos!$B$2:$B$73=$A25)*(Grupos!$C$2:$C$73=$B25)*Grupos!$H$2:$H$73)+SUMPRODUCT((Grupos!$B$2:$B$73=$A25)*(Grupos!$D$2:$D$73=$B25)*Grupos!$G$2:$G$73)</f>
        <v/>
      </c>
      <c r="I25" s="6">
        <f>G25-H25</f>
        <v/>
      </c>
      <c r="J25" s="6">
        <f>D25*3+E25</f>
        <v/>
      </c>
      <c r="K25" s="6">
        <f>J25*1000000+I25*1000+G25*10-3</f>
        <v/>
      </c>
      <c r="L25" s="6">
        <f>1+COUNTIF($K$22:$K$25,"&gt;"&amp;K25)</f>
        <v/>
      </c>
      <c r="M25" s="6">
        <f>SUMPRODUCT((Grupos!$B$2:$B$73=$A25)*((Grupos!$C$2:$C$73=$B25)+(Grupos!$D$2:$D$73=$B25))*(Grupos!$E$2:$E$73&lt;&gt;""))</f>
        <v/>
      </c>
      <c r="N25" s="6">
        <f>SUMPRODUCT((Grupos!$B$2:$B$73=$A25)*(Grupos!$C$2:$C$73=$B25)*(Grupos!$E$2:$E$73&gt;Grupos!$F$2:$F$73))+SUMPRODUCT((Grupos!$B$2:$B$73=$A25)*(Grupos!$D$2:$D$73=$B25)*(Grupos!$F$2:$F$73&gt;Grupos!$E$2:$E$73))</f>
        <v/>
      </c>
      <c r="O25" s="6">
        <f>SUMPRODUCT((Grupos!$B$2:$B$73=$A25)*((Grupos!$C$2:$C$73=$B25)+(Grupos!$D$2:$D$73=$B25))*(Grupos!$E$2:$E$73=Grupos!$F$2:$F$73)*(Grupos!$E$2:$E$73&lt;&gt;""))</f>
        <v/>
      </c>
      <c r="P25" s="6">
        <f>M25-N25-O25</f>
        <v/>
      </c>
      <c r="Q25" s="6">
        <f>SUMPRODUCT((Grupos!$B$2:$B$73=$A25)*(Grupos!$C$2:$C$73=$B25)*Grupos!$E$2:$E$73)+SUMPRODUCT((Grupos!$B$2:$B$73=$A25)*(Grupos!$D$2:$D$73=$B25)*Grupos!$F$2:$F$73)</f>
        <v/>
      </c>
      <c r="R25" s="6">
        <f>SUMPRODUCT((Grupos!$B$2:$B$73=$A25)*(Grupos!$C$2:$C$73=$B25)*Grupos!$F$2:$F$73)+SUMPRODUCT((Grupos!$B$2:$B$73=$A25)*(Grupos!$D$2:$D$73=$B25)*Grupos!$E$2:$E$73)</f>
        <v/>
      </c>
      <c r="S25" s="6">
        <f>Q25-R25</f>
        <v/>
      </c>
      <c r="T25" s="6">
        <f>N25*3+O25</f>
        <v/>
      </c>
      <c r="U25" s="6">
        <f>T25*1000000+S25*1000+Q25*10-3</f>
        <v/>
      </c>
      <c r="V25" s="6">
        <f>1+COUNTIF($U$22:$U$25,"&gt;"&amp;U25)</f>
        <v/>
      </c>
      <c r="W25" s="6" t="n">
        <v>4</v>
      </c>
      <c r="X25" s="6">
        <f>INDEX($B$22:$B$25,MATCH(W25,$L$22:$L$25,0))</f>
        <v/>
      </c>
      <c r="Y25" s="6">
        <f>INDEX($B$22:$B$25,MATCH(W25,$V$22:$V$25,0))</f>
        <v/>
      </c>
      <c r="Z25" s="6">
        <f>IF(AND(X25&lt;&gt;"",X25=Y25),1,0)</f>
        <v/>
      </c>
      <c r="AA25" s="6">
        <f>INDEX($J$22:$J$25,MATCH(W25,$L$22:$L$25,0))</f>
        <v/>
      </c>
      <c r="AB25" s="6">
        <f>INDEX($I$22:$I$25,MATCH(W25,$L$22:$L$25,0))</f>
        <v/>
      </c>
      <c r="AC25" s="6">
        <f>INDEX($G$22:$G$25,MATCH(W25,$L$22:$L$25,0))</f>
        <v/>
      </c>
      <c r="AD25" s="6">
        <f>INDEX($T$22:$T$25,MATCH(W25,$V$22:$V$25,0))</f>
        <v/>
      </c>
      <c r="AE25" s="6">
        <f>INDEX($S$22:$S$25,MATCH(W25,$V$22:$V$25,0))</f>
        <v/>
      </c>
      <c r="AF25" s="6">
        <f>INDEX($Q$22:$Q$25,MATCH(W25,$V$22:$V$25,0))</f>
        <v/>
      </c>
    </row>
    <row r="26">
      <c r="A26" s="6" t="inlineStr">
        <is>
          <t>G</t>
        </is>
      </c>
      <c r="B26" s="6" t="inlineStr">
        <is>
          <t>Bélgica</t>
        </is>
      </c>
      <c r="C26" s="6">
        <f>SUMPRODUCT((Grupos!$B$2:$B$73=$A26)*((Grupos!$C$2:$C$73=$B26)+(Grupos!$D$2:$D$73=$B26))*(Grupos!$G$2:$G$73&lt;&gt;""))</f>
        <v/>
      </c>
      <c r="D26" s="6">
        <f>SUMPRODUCT((Grupos!$B$2:$B$73=$A26)*(Grupos!$C$2:$C$73=$B26)*(Grupos!$G$2:$G$73&gt;Grupos!$H$2:$H$73))+SUMPRODUCT((Grupos!$B$2:$B$73=$A26)*(Grupos!$D$2:$D$73=$B26)*(Grupos!$H$2:$H$73&gt;Grupos!$G$2:$G$73))</f>
        <v/>
      </c>
      <c r="E26" s="6">
        <f>SUMPRODUCT((Grupos!$B$2:$B$73=$A26)*((Grupos!$C$2:$C$73=$B26)+(Grupos!$D$2:$D$73=$B26))*(Grupos!$G$2:$G$73=Grupos!$H$2:$H$73)*(Grupos!$G$2:$G$73&lt;&gt;""))</f>
        <v/>
      </c>
      <c r="F26" s="6">
        <f>C26-D26-E26</f>
        <v/>
      </c>
      <c r="G26" s="6">
        <f>SUMPRODUCT((Grupos!$B$2:$B$73=$A26)*(Grupos!$C$2:$C$73=$B26)*Grupos!$G$2:$G$73)+SUMPRODUCT((Grupos!$B$2:$B$73=$A26)*(Grupos!$D$2:$D$73=$B26)*Grupos!$H$2:$H$73)</f>
        <v/>
      </c>
      <c r="H26" s="6">
        <f>SUMPRODUCT((Grupos!$B$2:$B$73=$A26)*(Grupos!$C$2:$C$73=$B26)*Grupos!$H$2:$H$73)+SUMPRODUCT((Grupos!$B$2:$B$73=$A26)*(Grupos!$D$2:$D$73=$B26)*Grupos!$G$2:$G$73)</f>
        <v/>
      </c>
      <c r="I26" s="6">
        <f>G26-H26</f>
        <v/>
      </c>
      <c r="J26" s="6">
        <f>D26*3+E26</f>
        <v/>
      </c>
      <c r="K26" s="6">
        <f>J26*1000000+I26*1000+G26*10-0</f>
        <v/>
      </c>
      <c r="L26" s="6">
        <f>1+COUNTIF($K$26:$K$29,"&gt;"&amp;K26)</f>
        <v/>
      </c>
      <c r="M26" s="6">
        <f>SUMPRODUCT((Grupos!$B$2:$B$73=$A26)*((Grupos!$C$2:$C$73=$B26)+(Grupos!$D$2:$D$73=$B26))*(Grupos!$E$2:$E$73&lt;&gt;""))</f>
        <v/>
      </c>
      <c r="N26" s="6">
        <f>SUMPRODUCT((Grupos!$B$2:$B$73=$A26)*(Grupos!$C$2:$C$73=$B26)*(Grupos!$E$2:$E$73&gt;Grupos!$F$2:$F$73))+SUMPRODUCT((Grupos!$B$2:$B$73=$A26)*(Grupos!$D$2:$D$73=$B26)*(Grupos!$F$2:$F$73&gt;Grupos!$E$2:$E$73))</f>
        <v/>
      </c>
      <c r="O26" s="6">
        <f>SUMPRODUCT((Grupos!$B$2:$B$73=$A26)*((Grupos!$C$2:$C$73=$B26)+(Grupos!$D$2:$D$73=$B26))*(Grupos!$E$2:$E$73=Grupos!$F$2:$F$73)*(Grupos!$E$2:$E$73&lt;&gt;""))</f>
        <v/>
      </c>
      <c r="P26" s="6">
        <f>M26-N26-O26</f>
        <v/>
      </c>
      <c r="Q26" s="6">
        <f>SUMPRODUCT((Grupos!$B$2:$B$73=$A26)*(Grupos!$C$2:$C$73=$B26)*Grupos!$E$2:$E$73)+SUMPRODUCT((Grupos!$B$2:$B$73=$A26)*(Grupos!$D$2:$D$73=$B26)*Grupos!$F$2:$F$73)</f>
        <v/>
      </c>
      <c r="R26" s="6">
        <f>SUMPRODUCT((Grupos!$B$2:$B$73=$A26)*(Grupos!$C$2:$C$73=$B26)*Grupos!$F$2:$F$73)+SUMPRODUCT((Grupos!$B$2:$B$73=$A26)*(Grupos!$D$2:$D$73=$B26)*Grupos!$E$2:$E$73)</f>
        <v/>
      </c>
      <c r="S26" s="6">
        <f>Q26-R26</f>
        <v/>
      </c>
      <c r="T26" s="6">
        <f>N26*3+O26</f>
        <v/>
      </c>
      <c r="U26" s="6">
        <f>T26*1000000+S26*1000+Q26*10-0</f>
        <v/>
      </c>
      <c r="V26" s="6">
        <f>1+COUNTIF($U$26:$U$29,"&gt;"&amp;U26)</f>
        <v/>
      </c>
      <c r="W26" s="6" t="n">
        <v>1</v>
      </c>
      <c r="X26" s="6">
        <f>INDEX($B$26:$B$29,MATCH(W26,$L$26:$L$29,0))</f>
        <v/>
      </c>
      <c r="Y26" s="6">
        <f>INDEX($B$26:$B$29,MATCH(W26,$V$26:$V$29,0))</f>
        <v/>
      </c>
      <c r="Z26" s="6">
        <f>IF(AND(X26&lt;&gt;"",X26=Y26),1,0)</f>
        <v/>
      </c>
      <c r="AA26" s="6">
        <f>INDEX($J$26:$J$29,MATCH(W26,$L$26:$L$29,0))</f>
        <v/>
      </c>
      <c r="AB26" s="6">
        <f>INDEX($I$26:$I$29,MATCH(W26,$L$26:$L$29,0))</f>
        <v/>
      </c>
      <c r="AC26" s="6">
        <f>INDEX($G$26:$G$29,MATCH(W26,$L$26:$L$29,0))</f>
        <v/>
      </c>
      <c r="AD26" s="6">
        <f>INDEX($T$26:$T$29,MATCH(W26,$V$26:$V$29,0))</f>
        <v/>
      </c>
      <c r="AE26" s="6">
        <f>INDEX($S$26:$S$29,MATCH(W26,$V$26:$V$29,0))</f>
        <v/>
      </c>
      <c r="AF26" s="6">
        <f>INDEX($Q$26:$Q$29,MATCH(W26,$V$26:$V$29,0))</f>
        <v/>
      </c>
    </row>
    <row r="27">
      <c r="A27" s="6" t="inlineStr">
        <is>
          <t>G</t>
        </is>
      </c>
      <c r="B27" s="6" t="inlineStr">
        <is>
          <t>Egipto</t>
        </is>
      </c>
      <c r="C27" s="6">
        <f>SUMPRODUCT((Grupos!$B$2:$B$73=$A27)*((Grupos!$C$2:$C$73=$B27)+(Grupos!$D$2:$D$73=$B27))*(Grupos!$G$2:$G$73&lt;&gt;""))</f>
        <v/>
      </c>
      <c r="D27" s="6">
        <f>SUMPRODUCT((Grupos!$B$2:$B$73=$A27)*(Grupos!$C$2:$C$73=$B27)*(Grupos!$G$2:$G$73&gt;Grupos!$H$2:$H$73))+SUMPRODUCT((Grupos!$B$2:$B$73=$A27)*(Grupos!$D$2:$D$73=$B27)*(Grupos!$H$2:$H$73&gt;Grupos!$G$2:$G$73))</f>
        <v/>
      </c>
      <c r="E27" s="6">
        <f>SUMPRODUCT((Grupos!$B$2:$B$73=$A27)*((Grupos!$C$2:$C$73=$B27)+(Grupos!$D$2:$D$73=$B27))*(Grupos!$G$2:$G$73=Grupos!$H$2:$H$73)*(Grupos!$G$2:$G$73&lt;&gt;""))</f>
        <v/>
      </c>
      <c r="F27" s="6">
        <f>C27-D27-E27</f>
        <v/>
      </c>
      <c r="G27" s="6">
        <f>SUMPRODUCT((Grupos!$B$2:$B$73=$A27)*(Grupos!$C$2:$C$73=$B27)*Grupos!$G$2:$G$73)+SUMPRODUCT((Grupos!$B$2:$B$73=$A27)*(Grupos!$D$2:$D$73=$B27)*Grupos!$H$2:$H$73)</f>
        <v/>
      </c>
      <c r="H27" s="6">
        <f>SUMPRODUCT((Grupos!$B$2:$B$73=$A27)*(Grupos!$C$2:$C$73=$B27)*Grupos!$H$2:$H$73)+SUMPRODUCT((Grupos!$B$2:$B$73=$A27)*(Grupos!$D$2:$D$73=$B27)*Grupos!$G$2:$G$73)</f>
        <v/>
      </c>
      <c r="I27" s="6">
        <f>G27-H27</f>
        <v/>
      </c>
      <c r="J27" s="6">
        <f>D27*3+E27</f>
        <v/>
      </c>
      <c r="K27" s="6">
        <f>J27*1000000+I27*1000+G27*10-1</f>
        <v/>
      </c>
      <c r="L27" s="6">
        <f>1+COUNTIF($K$26:$K$29,"&gt;"&amp;K27)</f>
        <v/>
      </c>
      <c r="M27" s="6">
        <f>SUMPRODUCT((Grupos!$B$2:$B$73=$A27)*((Grupos!$C$2:$C$73=$B27)+(Grupos!$D$2:$D$73=$B27))*(Grupos!$E$2:$E$73&lt;&gt;""))</f>
        <v/>
      </c>
      <c r="N27" s="6">
        <f>SUMPRODUCT((Grupos!$B$2:$B$73=$A27)*(Grupos!$C$2:$C$73=$B27)*(Grupos!$E$2:$E$73&gt;Grupos!$F$2:$F$73))+SUMPRODUCT((Grupos!$B$2:$B$73=$A27)*(Grupos!$D$2:$D$73=$B27)*(Grupos!$F$2:$F$73&gt;Grupos!$E$2:$E$73))</f>
        <v/>
      </c>
      <c r="O27" s="6">
        <f>SUMPRODUCT((Grupos!$B$2:$B$73=$A27)*((Grupos!$C$2:$C$73=$B27)+(Grupos!$D$2:$D$73=$B27))*(Grupos!$E$2:$E$73=Grupos!$F$2:$F$73)*(Grupos!$E$2:$E$73&lt;&gt;""))</f>
        <v/>
      </c>
      <c r="P27" s="6">
        <f>M27-N27-O27</f>
        <v/>
      </c>
      <c r="Q27" s="6">
        <f>SUMPRODUCT((Grupos!$B$2:$B$73=$A27)*(Grupos!$C$2:$C$73=$B27)*Grupos!$E$2:$E$73)+SUMPRODUCT((Grupos!$B$2:$B$73=$A27)*(Grupos!$D$2:$D$73=$B27)*Grupos!$F$2:$F$73)</f>
        <v/>
      </c>
      <c r="R27" s="6">
        <f>SUMPRODUCT((Grupos!$B$2:$B$73=$A27)*(Grupos!$C$2:$C$73=$B27)*Grupos!$F$2:$F$73)+SUMPRODUCT((Grupos!$B$2:$B$73=$A27)*(Grupos!$D$2:$D$73=$B27)*Grupos!$E$2:$E$73)</f>
        <v/>
      </c>
      <c r="S27" s="6">
        <f>Q27-R27</f>
        <v/>
      </c>
      <c r="T27" s="6">
        <f>N27*3+O27</f>
        <v/>
      </c>
      <c r="U27" s="6">
        <f>T27*1000000+S27*1000+Q27*10-1</f>
        <v/>
      </c>
      <c r="V27" s="6">
        <f>1+COUNTIF($U$26:$U$29,"&gt;"&amp;U27)</f>
        <v/>
      </c>
      <c r="W27" s="6" t="n">
        <v>2</v>
      </c>
      <c r="X27" s="6">
        <f>INDEX($B$26:$B$29,MATCH(W27,$L$26:$L$29,0))</f>
        <v/>
      </c>
      <c r="Y27" s="6">
        <f>INDEX($B$26:$B$29,MATCH(W27,$V$26:$V$29,0))</f>
        <v/>
      </c>
      <c r="Z27" s="6">
        <f>IF(AND(X27&lt;&gt;"",X27=Y27),1,0)</f>
        <v/>
      </c>
      <c r="AA27" s="6">
        <f>INDEX($J$26:$J$29,MATCH(W27,$L$26:$L$29,0))</f>
        <v/>
      </c>
      <c r="AB27" s="6">
        <f>INDEX($I$26:$I$29,MATCH(W27,$L$26:$L$29,0))</f>
        <v/>
      </c>
      <c r="AC27" s="6">
        <f>INDEX($G$26:$G$29,MATCH(W27,$L$26:$L$29,0))</f>
        <v/>
      </c>
      <c r="AD27" s="6">
        <f>INDEX($T$26:$T$29,MATCH(W27,$V$26:$V$29,0))</f>
        <v/>
      </c>
      <c r="AE27" s="6">
        <f>INDEX($S$26:$S$29,MATCH(W27,$V$26:$V$29,0))</f>
        <v/>
      </c>
      <c r="AF27" s="6">
        <f>INDEX($Q$26:$Q$29,MATCH(W27,$V$26:$V$29,0))</f>
        <v/>
      </c>
    </row>
    <row r="28">
      <c r="A28" s="6" t="inlineStr">
        <is>
          <t>G</t>
        </is>
      </c>
      <c r="B28" s="6" t="inlineStr">
        <is>
          <t>Irán</t>
        </is>
      </c>
      <c r="C28" s="6">
        <f>SUMPRODUCT((Grupos!$B$2:$B$73=$A28)*((Grupos!$C$2:$C$73=$B28)+(Grupos!$D$2:$D$73=$B28))*(Grupos!$G$2:$G$73&lt;&gt;""))</f>
        <v/>
      </c>
      <c r="D28" s="6">
        <f>SUMPRODUCT((Grupos!$B$2:$B$73=$A28)*(Grupos!$C$2:$C$73=$B28)*(Grupos!$G$2:$G$73&gt;Grupos!$H$2:$H$73))+SUMPRODUCT((Grupos!$B$2:$B$73=$A28)*(Grupos!$D$2:$D$73=$B28)*(Grupos!$H$2:$H$73&gt;Grupos!$G$2:$G$73))</f>
        <v/>
      </c>
      <c r="E28" s="6">
        <f>SUMPRODUCT((Grupos!$B$2:$B$73=$A28)*((Grupos!$C$2:$C$73=$B28)+(Grupos!$D$2:$D$73=$B28))*(Grupos!$G$2:$G$73=Grupos!$H$2:$H$73)*(Grupos!$G$2:$G$73&lt;&gt;""))</f>
        <v/>
      </c>
      <c r="F28" s="6">
        <f>C28-D28-E28</f>
        <v/>
      </c>
      <c r="G28" s="6">
        <f>SUMPRODUCT((Grupos!$B$2:$B$73=$A28)*(Grupos!$C$2:$C$73=$B28)*Grupos!$G$2:$G$73)+SUMPRODUCT((Grupos!$B$2:$B$73=$A28)*(Grupos!$D$2:$D$73=$B28)*Grupos!$H$2:$H$73)</f>
        <v/>
      </c>
      <c r="H28" s="6">
        <f>SUMPRODUCT((Grupos!$B$2:$B$73=$A28)*(Grupos!$C$2:$C$73=$B28)*Grupos!$H$2:$H$73)+SUMPRODUCT((Grupos!$B$2:$B$73=$A28)*(Grupos!$D$2:$D$73=$B28)*Grupos!$G$2:$G$73)</f>
        <v/>
      </c>
      <c r="I28" s="6">
        <f>G28-H28</f>
        <v/>
      </c>
      <c r="J28" s="6">
        <f>D28*3+E28</f>
        <v/>
      </c>
      <c r="K28" s="6">
        <f>J28*1000000+I28*1000+G28*10-2</f>
        <v/>
      </c>
      <c r="L28" s="6">
        <f>1+COUNTIF($K$26:$K$29,"&gt;"&amp;K28)</f>
        <v/>
      </c>
      <c r="M28" s="6">
        <f>SUMPRODUCT((Grupos!$B$2:$B$73=$A28)*((Grupos!$C$2:$C$73=$B28)+(Grupos!$D$2:$D$73=$B28))*(Grupos!$E$2:$E$73&lt;&gt;""))</f>
        <v/>
      </c>
      <c r="N28" s="6">
        <f>SUMPRODUCT((Grupos!$B$2:$B$73=$A28)*(Grupos!$C$2:$C$73=$B28)*(Grupos!$E$2:$E$73&gt;Grupos!$F$2:$F$73))+SUMPRODUCT((Grupos!$B$2:$B$73=$A28)*(Grupos!$D$2:$D$73=$B28)*(Grupos!$F$2:$F$73&gt;Grupos!$E$2:$E$73))</f>
        <v/>
      </c>
      <c r="O28" s="6">
        <f>SUMPRODUCT((Grupos!$B$2:$B$73=$A28)*((Grupos!$C$2:$C$73=$B28)+(Grupos!$D$2:$D$73=$B28))*(Grupos!$E$2:$E$73=Grupos!$F$2:$F$73)*(Grupos!$E$2:$E$73&lt;&gt;""))</f>
        <v/>
      </c>
      <c r="P28" s="6">
        <f>M28-N28-O28</f>
        <v/>
      </c>
      <c r="Q28" s="6">
        <f>SUMPRODUCT((Grupos!$B$2:$B$73=$A28)*(Grupos!$C$2:$C$73=$B28)*Grupos!$E$2:$E$73)+SUMPRODUCT((Grupos!$B$2:$B$73=$A28)*(Grupos!$D$2:$D$73=$B28)*Grupos!$F$2:$F$73)</f>
        <v/>
      </c>
      <c r="R28" s="6">
        <f>SUMPRODUCT((Grupos!$B$2:$B$73=$A28)*(Grupos!$C$2:$C$73=$B28)*Grupos!$F$2:$F$73)+SUMPRODUCT((Grupos!$B$2:$B$73=$A28)*(Grupos!$D$2:$D$73=$B28)*Grupos!$E$2:$E$73)</f>
        <v/>
      </c>
      <c r="S28" s="6">
        <f>Q28-R28</f>
        <v/>
      </c>
      <c r="T28" s="6">
        <f>N28*3+O28</f>
        <v/>
      </c>
      <c r="U28" s="6">
        <f>T28*1000000+S28*1000+Q28*10-2</f>
        <v/>
      </c>
      <c r="V28" s="6">
        <f>1+COUNTIF($U$26:$U$29,"&gt;"&amp;U28)</f>
        <v/>
      </c>
      <c r="W28" s="6" t="n">
        <v>3</v>
      </c>
      <c r="X28" s="6">
        <f>INDEX($B$26:$B$29,MATCH(W28,$L$26:$L$29,0))</f>
        <v/>
      </c>
      <c r="Y28" s="6">
        <f>INDEX($B$26:$B$29,MATCH(W28,$V$26:$V$29,0))</f>
        <v/>
      </c>
      <c r="Z28" s="6">
        <f>IF(AND(X28&lt;&gt;"",X28=Y28),1,0)</f>
        <v/>
      </c>
      <c r="AA28" s="6">
        <f>INDEX($J$26:$J$29,MATCH(W28,$L$26:$L$29,0))</f>
        <v/>
      </c>
      <c r="AB28" s="6">
        <f>INDEX($I$26:$I$29,MATCH(W28,$L$26:$L$29,0))</f>
        <v/>
      </c>
      <c r="AC28" s="6">
        <f>INDEX($G$26:$G$29,MATCH(W28,$L$26:$L$29,0))</f>
        <v/>
      </c>
      <c r="AD28" s="6">
        <f>INDEX($T$26:$T$29,MATCH(W28,$V$26:$V$29,0))</f>
        <v/>
      </c>
      <c r="AE28" s="6">
        <f>INDEX($S$26:$S$29,MATCH(W28,$V$26:$V$29,0))</f>
        <v/>
      </c>
      <c r="AF28" s="6">
        <f>INDEX($Q$26:$Q$29,MATCH(W28,$V$26:$V$29,0))</f>
        <v/>
      </c>
    </row>
    <row r="29">
      <c r="A29" s="6" t="inlineStr">
        <is>
          <t>G</t>
        </is>
      </c>
      <c r="B29" s="6" t="inlineStr">
        <is>
          <t>Nueva Zelanda</t>
        </is>
      </c>
      <c r="C29" s="6">
        <f>SUMPRODUCT((Grupos!$B$2:$B$73=$A29)*((Grupos!$C$2:$C$73=$B29)+(Grupos!$D$2:$D$73=$B29))*(Grupos!$G$2:$G$73&lt;&gt;""))</f>
        <v/>
      </c>
      <c r="D29" s="6">
        <f>SUMPRODUCT((Grupos!$B$2:$B$73=$A29)*(Grupos!$C$2:$C$73=$B29)*(Grupos!$G$2:$G$73&gt;Grupos!$H$2:$H$73))+SUMPRODUCT((Grupos!$B$2:$B$73=$A29)*(Grupos!$D$2:$D$73=$B29)*(Grupos!$H$2:$H$73&gt;Grupos!$G$2:$G$73))</f>
        <v/>
      </c>
      <c r="E29" s="6">
        <f>SUMPRODUCT((Grupos!$B$2:$B$73=$A29)*((Grupos!$C$2:$C$73=$B29)+(Grupos!$D$2:$D$73=$B29))*(Grupos!$G$2:$G$73=Grupos!$H$2:$H$73)*(Grupos!$G$2:$G$73&lt;&gt;""))</f>
        <v/>
      </c>
      <c r="F29" s="6">
        <f>C29-D29-E29</f>
        <v/>
      </c>
      <c r="G29" s="6">
        <f>SUMPRODUCT((Grupos!$B$2:$B$73=$A29)*(Grupos!$C$2:$C$73=$B29)*Grupos!$G$2:$G$73)+SUMPRODUCT((Grupos!$B$2:$B$73=$A29)*(Grupos!$D$2:$D$73=$B29)*Grupos!$H$2:$H$73)</f>
        <v/>
      </c>
      <c r="H29" s="6">
        <f>SUMPRODUCT((Grupos!$B$2:$B$73=$A29)*(Grupos!$C$2:$C$73=$B29)*Grupos!$H$2:$H$73)+SUMPRODUCT((Grupos!$B$2:$B$73=$A29)*(Grupos!$D$2:$D$73=$B29)*Grupos!$G$2:$G$73)</f>
        <v/>
      </c>
      <c r="I29" s="6">
        <f>G29-H29</f>
        <v/>
      </c>
      <c r="J29" s="6">
        <f>D29*3+E29</f>
        <v/>
      </c>
      <c r="K29" s="6">
        <f>J29*1000000+I29*1000+G29*10-3</f>
        <v/>
      </c>
      <c r="L29" s="6">
        <f>1+COUNTIF($K$26:$K$29,"&gt;"&amp;K29)</f>
        <v/>
      </c>
      <c r="M29" s="6">
        <f>SUMPRODUCT((Grupos!$B$2:$B$73=$A29)*((Grupos!$C$2:$C$73=$B29)+(Grupos!$D$2:$D$73=$B29))*(Grupos!$E$2:$E$73&lt;&gt;""))</f>
        <v/>
      </c>
      <c r="N29" s="6">
        <f>SUMPRODUCT((Grupos!$B$2:$B$73=$A29)*(Grupos!$C$2:$C$73=$B29)*(Grupos!$E$2:$E$73&gt;Grupos!$F$2:$F$73))+SUMPRODUCT((Grupos!$B$2:$B$73=$A29)*(Grupos!$D$2:$D$73=$B29)*(Grupos!$F$2:$F$73&gt;Grupos!$E$2:$E$73))</f>
        <v/>
      </c>
      <c r="O29" s="6">
        <f>SUMPRODUCT((Grupos!$B$2:$B$73=$A29)*((Grupos!$C$2:$C$73=$B29)+(Grupos!$D$2:$D$73=$B29))*(Grupos!$E$2:$E$73=Grupos!$F$2:$F$73)*(Grupos!$E$2:$E$73&lt;&gt;""))</f>
        <v/>
      </c>
      <c r="P29" s="6">
        <f>M29-N29-O29</f>
        <v/>
      </c>
      <c r="Q29" s="6">
        <f>SUMPRODUCT((Grupos!$B$2:$B$73=$A29)*(Grupos!$C$2:$C$73=$B29)*Grupos!$E$2:$E$73)+SUMPRODUCT((Grupos!$B$2:$B$73=$A29)*(Grupos!$D$2:$D$73=$B29)*Grupos!$F$2:$F$73)</f>
        <v/>
      </c>
      <c r="R29" s="6">
        <f>SUMPRODUCT((Grupos!$B$2:$B$73=$A29)*(Grupos!$C$2:$C$73=$B29)*Grupos!$F$2:$F$73)+SUMPRODUCT((Grupos!$B$2:$B$73=$A29)*(Grupos!$D$2:$D$73=$B29)*Grupos!$E$2:$E$73)</f>
        <v/>
      </c>
      <c r="S29" s="6">
        <f>Q29-R29</f>
        <v/>
      </c>
      <c r="T29" s="6">
        <f>N29*3+O29</f>
        <v/>
      </c>
      <c r="U29" s="6">
        <f>T29*1000000+S29*1000+Q29*10-3</f>
        <v/>
      </c>
      <c r="V29" s="6">
        <f>1+COUNTIF($U$26:$U$29,"&gt;"&amp;U29)</f>
        <v/>
      </c>
      <c r="W29" s="6" t="n">
        <v>4</v>
      </c>
      <c r="X29" s="6">
        <f>INDEX($B$26:$B$29,MATCH(W29,$L$26:$L$29,0))</f>
        <v/>
      </c>
      <c r="Y29" s="6">
        <f>INDEX($B$26:$B$29,MATCH(W29,$V$26:$V$29,0))</f>
        <v/>
      </c>
      <c r="Z29" s="6">
        <f>IF(AND(X29&lt;&gt;"",X29=Y29),1,0)</f>
        <v/>
      </c>
      <c r="AA29" s="6">
        <f>INDEX($J$26:$J$29,MATCH(W29,$L$26:$L$29,0))</f>
        <v/>
      </c>
      <c r="AB29" s="6">
        <f>INDEX($I$26:$I$29,MATCH(W29,$L$26:$L$29,0))</f>
        <v/>
      </c>
      <c r="AC29" s="6">
        <f>INDEX($G$26:$G$29,MATCH(W29,$L$26:$L$29,0))</f>
        <v/>
      </c>
      <c r="AD29" s="6">
        <f>INDEX($T$26:$T$29,MATCH(W29,$V$26:$V$29,0))</f>
        <v/>
      </c>
      <c r="AE29" s="6">
        <f>INDEX($S$26:$S$29,MATCH(W29,$V$26:$V$29,0))</f>
        <v/>
      </c>
      <c r="AF29" s="6">
        <f>INDEX($Q$26:$Q$29,MATCH(W29,$V$26:$V$29,0))</f>
        <v/>
      </c>
    </row>
    <row r="30">
      <c r="A30" s="6" t="inlineStr">
        <is>
          <t>H</t>
        </is>
      </c>
      <c r="B30" s="6" t="inlineStr">
        <is>
          <t>España</t>
        </is>
      </c>
      <c r="C30" s="6">
        <f>SUMPRODUCT((Grupos!$B$2:$B$73=$A30)*((Grupos!$C$2:$C$73=$B30)+(Grupos!$D$2:$D$73=$B30))*(Grupos!$G$2:$G$73&lt;&gt;""))</f>
        <v/>
      </c>
      <c r="D30" s="6">
        <f>SUMPRODUCT((Grupos!$B$2:$B$73=$A30)*(Grupos!$C$2:$C$73=$B30)*(Grupos!$G$2:$G$73&gt;Grupos!$H$2:$H$73))+SUMPRODUCT((Grupos!$B$2:$B$73=$A30)*(Grupos!$D$2:$D$73=$B30)*(Grupos!$H$2:$H$73&gt;Grupos!$G$2:$G$73))</f>
        <v/>
      </c>
      <c r="E30" s="6">
        <f>SUMPRODUCT((Grupos!$B$2:$B$73=$A30)*((Grupos!$C$2:$C$73=$B30)+(Grupos!$D$2:$D$73=$B30))*(Grupos!$G$2:$G$73=Grupos!$H$2:$H$73)*(Grupos!$G$2:$G$73&lt;&gt;""))</f>
        <v/>
      </c>
      <c r="F30" s="6">
        <f>C30-D30-E30</f>
        <v/>
      </c>
      <c r="G30" s="6">
        <f>SUMPRODUCT((Grupos!$B$2:$B$73=$A30)*(Grupos!$C$2:$C$73=$B30)*Grupos!$G$2:$G$73)+SUMPRODUCT((Grupos!$B$2:$B$73=$A30)*(Grupos!$D$2:$D$73=$B30)*Grupos!$H$2:$H$73)</f>
        <v/>
      </c>
      <c r="H30" s="6">
        <f>SUMPRODUCT((Grupos!$B$2:$B$73=$A30)*(Grupos!$C$2:$C$73=$B30)*Grupos!$H$2:$H$73)+SUMPRODUCT((Grupos!$B$2:$B$73=$A30)*(Grupos!$D$2:$D$73=$B30)*Grupos!$G$2:$G$73)</f>
        <v/>
      </c>
      <c r="I30" s="6">
        <f>G30-H30</f>
        <v/>
      </c>
      <c r="J30" s="6">
        <f>D30*3+E30</f>
        <v/>
      </c>
      <c r="K30" s="6">
        <f>J30*1000000+I30*1000+G30*10-0</f>
        <v/>
      </c>
      <c r="L30" s="6">
        <f>1+COUNTIF($K$30:$K$33,"&gt;"&amp;K30)</f>
        <v/>
      </c>
      <c r="M30" s="6">
        <f>SUMPRODUCT((Grupos!$B$2:$B$73=$A30)*((Grupos!$C$2:$C$73=$B30)+(Grupos!$D$2:$D$73=$B30))*(Grupos!$E$2:$E$73&lt;&gt;""))</f>
        <v/>
      </c>
      <c r="N30" s="6">
        <f>SUMPRODUCT((Grupos!$B$2:$B$73=$A30)*(Grupos!$C$2:$C$73=$B30)*(Grupos!$E$2:$E$73&gt;Grupos!$F$2:$F$73))+SUMPRODUCT((Grupos!$B$2:$B$73=$A30)*(Grupos!$D$2:$D$73=$B30)*(Grupos!$F$2:$F$73&gt;Grupos!$E$2:$E$73))</f>
        <v/>
      </c>
      <c r="O30" s="6">
        <f>SUMPRODUCT((Grupos!$B$2:$B$73=$A30)*((Grupos!$C$2:$C$73=$B30)+(Grupos!$D$2:$D$73=$B30))*(Grupos!$E$2:$E$73=Grupos!$F$2:$F$73)*(Grupos!$E$2:$E$73&lt;&gt;""))</f>
        <v/>
      </c>
      <c r="P30" s="6">
        <f>M30-N30-O30</f>
        <v/>
      </c>
      <c r="Q30" s="6">
        <f>SUMPRODUCT((Grupos!$B$2:$B$73=$A30)*(Grupos!$C$2:$C$73=$B30)*Grupos!$E$2:$E$73)+SUMPRODUCT((Grupos!$B$2:$B$73=$A30)*(Grupos!$D$2:$D$73=$B30)*Grupos!$F$2:$F$73)</f>
        <v/>
      </c>
      <c r="R30" s="6">
        <f>SUMPRODUCT((Grupos!$B$2:$B$73=$A30)*(Grupos!$C$2:$C$73=$B30)*Grupos!$F$2:$F$73)+SUMPRODUCT((Grupos!$B$2:$B$73=$A30)*(Grupos!$D$2:$D$73=$B30)*Grupos!$E$2:$E$73)</f>
        <v/>
      </c>
      <c r="S30" s="6">
        <f>Q30-R30</f>
        <v/>
      </c>
      <c r="T30" s="6">
        <f>N30*3+O30</f>
        <v/>
      </c>
      <c r="U30" s="6">
        <f>T30*1000000+S30*1000+Q30*10-0</f>
        <v/>
      </c>
      <c r="V30" s="6">
        <f>1+COUNTIF($U$30:$U$33,"&gt;"&amp;U30)</f>
        <v/>
      </c>
      <c r="W30" s="6" t="n">
        <v>1</v>
      </c>
      <c r="X30" s="6">
        <f>INDEX($B$30:$B$33,MATCH(W30,$L$30:$L$33,0))</f>
        <v/>
      </c>
      <c r="Y30" s="6">
        <f>INDEX($B$30:$B$33,MATCH(W30,$V$30:$V$33,0))</f>
        <v/>
      </c>
      <c r="Z30" s="6">
        <f>IF(AND(X30&lt;&gt;"",X30=Y30),1,0)</f>
        <v/>
      </c>
      <c r="AA30" s="6">
        <f>INDEX($J$30:$J$33,MATCH(W30,$L$30:$L$33,0))</f>
        <v/>
      </c>
      <c r="AB30" s="6">
        <f>INDEX($I$30:$I$33,MATCH(W30,$L$30:$L$33,0))</f>
        <v/>
      </c>
      <c r="AC30" s="6">
        <f>INDEX($G$30:$G$33,MATCH(W30,$L$30:$L$33,0))</f>
        <v/>
      </c>
      <c r="AD30" s="6">
        <f>INDEX($T$30:$T$33,MATCH(W30,$V$30:$V$33,0))</f>
        <v/>
      </c>
      <c r="AE30" s="6">
        <f>INDEX($S$30:$S$33,MATCH(W30,$V$30:$V$33,0))</f>
        <v/>
      </c>
      <c r="AF30" s="6">
        <f>INDEX($Q$30:$Q$33,MATCH(W30,$V$30:$V$33,0))</f>
        <v/>
      </c>
    </row>
    <row r="31">
      <c r="A31" s="6" t="inlineStr">
        <is>
          <t>H</t>
        </is>
      </c>
      <c r="B31" s="6" t="inlineStr">
        <is>
          <t>Cabo Verde</t>
        </is>
      </c>
      <c r="C31" s="6">
        <f>SUMPRODUCT((Grupos!$B$2:$B$73=$A31)*((Grupos!$C$2:$C$73=$B31)+(Grupos!$D$2:$D$73=$B31))*(Grupos!$G$2:$G$73&lt;&gt;""))</f>
        <v/>
      </c>
      <c r="D31" s="6">
        <f>SUMPRODUCT((Grupos!$B$2:$B$73=$A31)*(Grupos!$C$2:$C$73=$B31)*(Grupos!$G$2:$G$73&gt;Grupos!$H$2:$H$73))+SUMPRODUCT((Grupos!$B$2:$B$73=$A31)*(Grupos!$D$2:$D$73=$B31)*(Grupos!$H$2:$H$73&gt;Grupos!$G$2:$G$73))</f>
        <v/>
      </c>
      <c r="E31" s="6">
        <f>SUMPRODUCT((Grupos!$B$2:$B$73=$A31)*((Grupos!$C$2:$C$73=$B31)+(Grupos!$D$2:$D$73=$B31))*(Grupos!$G$2:$G$73=Grupos!$H$2:$H$73)*(Grupos!$G$2:$G$73&lt;&gt;""))</f>
        <v/>
      </c>
      <c r="F31" s="6">
        <f>C31-D31-E31</f>
        <v/>
      </c>
      <c r="G31" s="6">
        <f>SUMPRODUCT((Grupos!$B$2:$B$73=$A31)*(Grupos!$C$2:$C$73=$B31)*Grupos!$G$2:$G$73)+SUMPRODUCT((Grupos!$B$2:$B$73=$A31)*(Grupos!$D$2:$D$73=$B31)*Grupos!$H$2:$H$73)</f>
        <v/>
      </c>
      <c r="H31" s="6">
        <f>SUMPRODUCT((Grupos!$B$2:$B$73=$A31)*(Grupos!$C$2:$C$73=$B31)*Grupos!$H$2:$H$73)+SUMPRODUCT((Grupos!$B$2:$B$73=$A31)*(Grupos!$D$2:$D$73=$B31)*Grupos!$G$2:$G$73)</f>
        <v/>
      </c>
      <c r="I31" s="6">
        <f>G31-H31</f>
        <v/>
      </c>
      <c r="J31" s="6">
        <f>D31*3+E31</f>
        <v/>
      </c>
      <c r="K31" s="6">
        <f>J31*1000000+I31*1000+G31*10-1</f>
        <v/>
      </c>
      <c r="L31" s="6">
        <f>1+COUNTIF($K$30:$K$33,"&gt;"&amp;K31)</f>
        <v/>
      </c>
      <c r="M31" s="6">
        <f>SUMPRODUCT((Grupos!$B$2:$B$73=$A31)*((Grupos!$C$2:$C$73=$B31)+(Grupos!$D$2:$D$73=$B31))*(Grupos!$E$2:$E$73&lt;&gt;""))</f>
        <v/>
      </c>
      <c r="N31" s="6">
        <f>SUMPRODUCT((Grupos!$B$2:$B$73=$A31)*(Grupos!$C$2:$C$73=$B31)*(Grupos!$E$2:$E$73&gt;Grupos!$F$2:$F$73))+SUMPRODUCT((Grupos!$B$2:$B$73=$A31)*(Grupos!$D$2:$D$73=$B31)*(Grupos!$F$2:$F$73&gt;Grupos!$E$2:$E$73))</f>
        <v/>
      </c>
      <c r="O31" s="6">
        <f>SUMPRODUCT((Grupos!$B$2:$B$73=$A31)*((Grupos!$C$2:$C$73=$B31)+(Grupos!$D$2:$D$73=$B31))*(Grupos!$E$2:$E$73=Grupos!$F$2:$F$73)*(Grupos!$E$2:$E$73&lt;&gt;""))</f>
        <v/>
      </c>
      <c r="P31" s="6">
        <f>M31-N31-O31</f>
        <v/>
      </c>
      <c r="Q31" s="6">
        <f>SUMPRODUCT((Grupos!$B$2:$B$73=$A31)*(Grupos!$C$2:$C$73=$B31)*Grupos!$E$2:$E$73)+SUMPRODUCT((Grupos!$B$2:$B$73=$A31)*(Grupos!$D$2:$D$73=$B31)*Grupos!$F$2:$F$73)</f>
        <v/>
      </c>
      <c r="R31" s="6">
        <f>SUMPRODUCT((Grupos!$B$2:$B$73=$A31)*(Grupos!$C$2:$C$73=$B31)*Grupos!$F$2:$F$73)+SUMPRODUCT((Grupos!$B$2:$B$73=$A31)*(Grupos!$D$2:$D$73=$B31)*Grupos!$E$2:$E$73)</f>
        <v/>
      </c>
      <c r="S31" s="6">
        <f>Q31-R31</f>
        <v/>
      </c>
      <c r="T31" s="6">
        <f>N31*3+O31</f>
        <v/>
      </c>
      <c r="U31" s="6">
        <f>T31*1000000+S31*1000+Q31*10-1</f>
        <v/>
      </c>
      <c r="V31" s="6">
        <f>1+COUNTIF($U$30:$U$33,"&gt;"&amp;U31)</f>
        <v/>
      </c>
      <c r="W31" s="6" t="n">
        <v>2</v>
      </c>
      <c r="X31" s="6">
        <f>INDEX($B$30:$B$33,MATCH(W31,$L$30:$L$33,0))</f>
        <v/>
      </c>
      <c r="Y31" s="6">
        <f>INDEX($B$30:$B$33,MATCH(W31,$V$30:$V$33,0))</f>
        <v/>
      </c>
      <c r="Z31" s="6">
        <f>IF(AND(X31&lt;&gt;"",X31=Y31),1,0)</f>
        <v/>
      </c>
      <c r="AA31" s="6">
        <f>INDEX($J$30:$J$33,MATCH(W31,$L$30:$L$33,0))</f>
        <v/>
      </c>
      <c r="AB31" s="6">
        <f>INDEX($I$30:$I$33,MATCH(W31,$L$30:$L$33,0))</f>
        <v/>
      </c>
      <c r="AC31" s="6">
        <f>INDEX($G$30:$G$33,MATCH(W31,$L$30:$L$33,0))</f>
        <v/>
      </c>
      <c r="AD31" s="6">
        <f>INDEX($T$30:$T$33,MATCH(W31,$V$30:$V$33,0))</f>
        <v/>
      </c>
      <c r="AE31" s="6">
        <f>INDEX($S$30:$S$33,MATCH(W31,$V$30:$V$33,0))</f>
        <v/>
      </c>
      <c r="AF31" s="6">
        <f>INDEX($Q$30:$Q$33,MATCH(W31,$V$30:$V$33,0))</f>
        <v/>
      </c>
    </row>
    <row r="32">
      <c r="A32" s="6" t="inlineStr">
        <is>
          <t>H</t>
        </is>
      </c>
      <c r="B32" s="6" t="inlineStr">
        <is>
          <t>Arabia Saudita</t>
        </is>
      </c>
      <c r="C32" s="6">
        <f>SUMPRODUCT((Grupos!$B$2:$B$73=$A32)*((Grupos!$C$2:$C$73=$B32)+(Grupos!$D$2:$D$73=$B32))*(Grupos!$G$2:$G$73&lt;&gt;""))</f>
        <v/>
      </c>
      <c r="D32" s="6">
        <f>SUMPRODUCT((Grupos!$B$2:$B$73=$A32)*(Grupos!$C$2:$C$73=$B32)*(Grupos!$G$2:$G$73&gt;Grupos!$H$2:$H$73))+SUMPRODUCT((Grupos!$B$2:$B$73=$A32)*(Grupos!$D$2:$D$73=$B32)*(Grupos!$H$2:$H$73&gt;Grupos!$G$2:$G$73))</f>
        <v/>
      </c>
      <c r="E32" s="6">
        <f>SUMPRODUCT((Grupos!$B$2:$B$73=$A32)*((Grupos!$C$2:$C$73=$B32)+(Grupos!$D$2:$D$73=$B32))*(Grupos!$G$2:$G$73=Grupos!$H$2:$H$73)*(Grupos!$G$2:$G$73&lt;&gt;""))</f>
        <v/>
      </c>
      <c r="F32" s="6">
        <f>C32-D32-E32</f>
        <v/>
      </c>
      <c r="G32" s="6">
        <f>SUMPRODUCT((Grupos!$B$2:$B$73=$A32)*(Grupos!$C$2:$C$73=$B32)*Grupos!$G$2:$G$73)+SUMPRODUCT((Grupos!$B$2:$B$73=$A32)*(Grupos!$D$2:$D$73=$B32)*Grupos!$H$2:$H$73)</f>
        <v/>
      </c>
      <c r="H32" s="6">
        <f>SUMPRODUCT((Grupos!$B$2:$B$73=$A32)*(Grupos!$C$2:$C$73=$B32)*Grupos!$H$2:$H$73)+SUMPRODUCT((Grupos!$B$2:$B$73=$A32)*(Grupos!$D$2:$D$73=$B32)*Grupos!$G$2:$G$73)</f>
        <v/>
      </c>
      <c r="I32" s="6">
        <f>G32-H32</f>
        <v/>
      </c>
      <c r="J32" s="6">
        <f>D32*3+E32</f>
        <v/>
      </c>
      <c r="K32" s="6">
        <f>J32*1000000+I32*1000+G32*10-2</f>
        <v/>
      </c>
      <c r="L32" s="6">
        <f>1+COUNTIF($K$30:$K$33,"&gt;"&amp;K32)</f>
        <v/>
      </c>
      <c r="M32" s="6">
        <f>SUMPRODUCT((Grupos!$B$2:$B$73=$A32)*((Grupos!$C$2:$C$73=$B32)+(Grupos!$D$2:$D$73=$B32))*(Grupos!$E$2:$E$73&lt;&gt;""))</f>
        <v/>
      </c>
      <c r="N32" s="6">
        <f>SUMPRODUCT((Grupos!$B$2:$B$73=$A32)*(Grupos!$C$2:$C$73=$B32)*(Grupos!$E$2:$E$73&gt;Grupos!$F$2:$F$73))+SUMPRODUCT((Grupos!$B$2:$B$73=$A32)*(Grupos!$D$2:$D$73=$B32)*(Grupos!$F$2:$F$73&gt;Grupos!$E$2:$E$73))</f>
        <v/>
      </c>
      <c r="O32" s="6">
        <f>SUMPRODUCT((Grupos!$B$2:$B$73=$A32)*((Grupos!$C$2:$C$73=$B32)+(Grupos!$D$2:$D$73=$B32))*(Grupos!$E$2:$E$73=Grupos!$F$2:$F$73)*(Grupos!$E$2:$E$73&lt;&gt;""))</f>
        <v/>
      </c>
      <c r="P32" s="6">
        <f>M32-N32-O32</f>
        <v/>
      </c>
      <c r="Q32" s="6">
        <f>SUMPRODUCT((Grupos!$B$2:$B$73=$A32)*(Grupos!$C$2:$C$73=$B32)*Grupos!$E$2:$E$73)+SUMPRODUCT((Grupos!$B$2:$B$73=$A32)*(Grupos!$D$2:$D$73=$B32)*Grupos!$F$2:$F$73)</f>
        <v/>
      </c>
      <c r="R32" s="6">
        <f>SUMPRODUCT((Grupos!$B$2:$B$73=$A32)*(Grupos!$C$2:$C$73=$B32)*Grupos!$F$2:$F$73)+SUMPRODUCT((Grupos!$B$2:$B$73=$A32)*(Grupos!$D$2:$D$73=$B32)*Grupos!$E$2:$E$73)</f>
        <v/>
      </c>
      <c r="S32" s="6">
        <f>Q32-R32</f>
        <v/>
      </c>
      <c r="T32" s="6">
        <f>N32*3+O32</f>
        <v/>
      </c>
      <c r="U32" s="6">
        <f>T32*1000000+S32*1000+Q32*10-2</f>
        <v/>
      </c>
      <c r="V32" s="6">
        <f>1+COUNTIF($U$30:$U$33,"&gt;"&amp;U32)</f>
        <v/>
      </c>
      <c r="W32" s="6" t="n">
        <v>3</v>
      </c>
      <c r="X32" s="6">
        <f>INDEX($B$30:$B$33,MATCH(W32,$L$30:$L$33,0))</f>
        <v/>
      </c>
      <c r="Y32" s="6">
        <f>INDEX($B$30:$B$33,MATCH(W32,$V$30:$V$33,0))</f>
        <v/>
      </c>
      <c r="Z32" s="6">
        <f>IF(AND(X32&lt;&gt;"",X32=Y32),1,0)</f>
        <v/>
      </c>
      <c r="AA32" s="6">
        <f>INDEX($J$30:$J$33,MATCH(W32,$L$30:$L$33,0))</f>
        <v/>
      </c>
      <c r="AB32" s="6">
        <f>INDEX($I$30:$I$33,MATCH(W32,$L$30:$L$33,0))</f>
        <v/>
      </c>
      <c r="AC32" s="6">
        <f>INDEX($G$30:$G$33,MATCH(W32,$L$30:$L$33,0))</f>
        <v/>
      </c>
      <c r="AD32" s="6">
        <f>INDEX($T$30:$T$33,MATCH(W32,$V$30:$V$33,0))</f>
        <v/>
      </c>
      <c r="AE32" s="6">
        <f>INDEX($S$30:$S$33,MATCH(W32,$V$30:$V$33,0))</f>
        <v/>
      </c>
      <c r="AF32" s="6">
        <f>INDEX($Q$30:$Q$33,MATCH(W32,$V$30:$V$33,0))</f>
        <v/>
      </c>
    </row>
    <row r="33">
      <c r="A33" s="6" t="inlineStr">
        <is>
          <t>H</t>
        </is>
      </c>
      <c r="B33" s="6" t="inlineStr">
        <is>
          <t>Uruguay</t>
        </is>
      </c>
      <c r="C33" s="6">
        <f>SUMPRODUCT((Grupos!$B$2:$B$73=$A33)*((Grupos!$C$2:$C$73=$B33)+(Grupos!$D$2:$D$73=$B33))*(Grupos!$G$2:$G$73&lt;&gt;""))</f>
        <v/>
      </c>
      <c r="D33" s="6">
        <f>SUMPRODUCT((Grupos!$B$2:$B$73=$A33)*(Grupos!$C$2:$C$73=$B33)*(Grupos!$G$2:$G$73&gt;Grupos!$H$2:$H$73))+SUMPRODUCT((Grupos!$B$2:$B$73=$A33)*(Grupos!$D$2:$D$73=$B33)*(Grupos!$H$2:$H$73&gt;Grupos!$G$2:$G$73))</f>
        <v/>
      </c>
      <c r="E33" s="6">
        <f>SUMPRODUCT((Grupos!$B$2:$B$73=$A33)*((Grupos!$C$2:$C$73=$B33)+(Grupos!$D$2:$D$73=$B33))*(Grupos!$G$2:$G$73=Grupos!$H$2:$H$73)*(Grupos!$G$2:$G$73&lt;&gt;""))</f>
        <v/>
      </c>
      <c r="F33" s="6">
        <f>C33-D33-E33</f>
        <v/>
      </c>
      <c r="G33" s="6">
        <f>SUMPRODUCT((Grupos!$B$2:$B$73=$A33)*(Grupos!$C$2:$C$73=$B33)*Grupos!$G$2:$G$73)+SUMPRODUCT((Grupos!$B$2:$B$73=$A33)*(Grupos!$D$2:$D$73=$B33)*Grupos!$H$2:$H$73)</f>
        <v/>
      </c>
      <c r="H33" s="6">
        <f>SUMPRODUCT((Grupos!$B$2:$B$73=$A33)*(Grupos!$C$2:$C$73=$B33)*Grupos!$H$2:$H$73)+SUMPRODUCT((Grupos!$B$2:$B$73=$A33)*(Grupos!$D$2:$D$73=$B33)*Grupos!$G$2:$G$73)</f>
        <v/>
      </c>
      <c r="I33" s="6">
        <f>G33-H33</f>
        <v/>
      </c>
      <c r="J33" s="6">
        <f>D33*3+E33</f>
        <v/>
      </c>
      <c r="K33" s="6">
        <f>J33*1000000+I33*1000+G33*10-3</f>
        <v/>
      </c>
      <c r="L33" s="6">
        <f>1+COUNTIF($K$30:$K$33,"&gt;"&amp;K33)</f>
        <v/>
      </c>
      <c r="M33" s="6">
        <f>SUMPRODUCT((Grupos!$B$2:$B$73=$A33)*((Grupos!$C$2:$C$73=$B33)+(Grupos!$D$2:$D$73=$B33))*(Grupos!$E$2:$E$73&lt;&gt;""))</f>
        <v/>
      </c>
      <c r="N33" s="6">
        <f>SUMPRODUCT((Grupos!$B$2:$B$73=$A33)*(Grupos!$C$2:$C$73=$B33)*(Grupos!$E$2:$E$73&gt;Grupos!$F$2:$F$73))+SUMPRODUCT((Grupos!$B$2:$B$73=$A33)*(Grupos!$D$2:$D$73=$B33)*(Grupos!$F$2:$F$73&gt;Grupos!$E$2:$E$73))</f>
        <v/>
      </c>
      <c r="O33" s="6">
        <f>SUMPRODUCT((Grupos!$B$2:$B$73=$A33)*((Grupos!$C$2:$C$73=$B33)+(Grupos!$D$2:$D$73=$B33))*(Grupos!$E$2:$E$73=Grupos!$F$2:$F$73)*(Grupos!$E$2:$E$73&lt;&gt;""))</f>
        <v/>
      </c>
      <c r="P33" s="6">
        <f>M33-N33-O33</f>
        <v/>
      </c>
      <c r="Q33" s="6">
        <f>SUMPRODUCT((Grupos!$B$2:$B$73=$A33)*(Grupos!$C$2:$C$73=$B33)*Grupos!$E$2:$E$73)+SUMPRODUCT((Grupos!$B$2:$B$73=$A33)*(Grupos!$D$2:$D$73=$B33)*Grupos!$F$2:$F$73)</f>
        <v/>
      </c>
      <c r="R33" s="6">
        <f>SUMPRODUCT((Grupos!$B$2:$B$73=$A33)*(Grupos!$C$2:$C$73=$B33)*Grupos!$F$2:$F$73)+SUMPRODUCT((Grupos!$B$2:$B$73=$A33)*(Grupos!$D$2:$D$73=$B33)*Grupos!$E$2:$E$73)</f>
        <v/>
      </c>
      <c r="S33" s="6">
        <f>Q33-R33</f>
        <v/>
      </c>
      <c r="T33" s="6">
        <f>N33*3+O33</f>
        <v/>
      </c>
      <c r="U33" s="6">
        <f>T33*1000000+S33*1000+Q33*10-3</f>
        <v/>
      </c>
      <c r="V33" s="6">
        <f>1+COUNTIF($U$30:$U$33,"&gt;"&amp;U33)</f>
        <v/>
      </c>
      <c r="W33" s="6" t="n">
        <v>4</v>
      </c>
      <c r="X33" s="6">
        <f>INDEX($B$30:$B$33,MATCH(W33,$L$30:$L$33,0))</f>
        <v/>
      </c>
      <c r="Y33" s="6">
        <f>INDEX($B$30:$B$33,MATCH(W33,$V$30:$V$33,0))</f>
        <v/>
      </c>
      <c r="Z33" s="6">
        <f>IF(AND(X33&lt;&gt;"",X33=Y33),1,0)</f>
        <v/>
      </c>
      <c r="AA33" s="6">
        <f>INDEX($J$30:$J$33,MATCH(W33,$L$30:$L$33,0))</f>
        <v/>
      </c>
      <c r="AB33" s="6">
        <f>INDEX($I$30:$I$33,MATCH(W33,$L$30:$L$33,0))</f>
        <v/>
      </c>
      <c r="AC33" s="6">
        <f>INDEX($G$30:$G$33,MATCH(W33,$L$30:$L$33,0))</f>
        <v/>
      </c>
      <c r="AD33" s="6">
        <f>INDEX($T$30:$T$33,MATCH(W33,$V$30:$V$33,0))</f>
        <v/>
      </c>
      <c r="AE33" s="6">
        <f>INDEX($S$30:$S$33,MATCH(W33,$V$30:$V$33,0))</f>
        <v/>
      </c>
      <c r="AF33" s="6">
        <f>INDEX($Q$30:$Q$33,MATCH(W33,$V$30:$V$33,0))</f>
        <v/>
      </c>
    </row>
    <row r="34">
      <c r="A34" s="6" t="inlineStr">
        <is>
          <t>I</t>
        </is>
      </c>
      <c r="B34" s="6" t="inlineStr">
        <is>
          <t>Francia</t>
        </is>
      </c>
      <c r="C34" s="6">
        <f>SUMPRODUCT((Grupos!$B$2:$B$73=$A34)*((Grupos!$C$2:$C$73=$B34)+(Grupos!$D$2:$D$73=$B34))*(Grupos!$G$2:$G$73&lt;&gt;""))</f>
        <v/>
      </c>
      <c r="D34" s="6">
        <f>SUMPRODUCT((Grupos!$B$2:$B$73=$A34)*(Grupos!$C$2:$C$73=$B34)*(Grupos!$G$2:$G$73&gt;Grupos!$H$2:$H$73))+SUMPRODUCT((Grupos!$B$2:$B$73=$A34)*(Grupos!$D$2:$D$73=$B34)*(Grupos!$H$2:$H$73&gt;Grupos!$G$2:$G$73))</f>
        <v/>
      </c>
      <c r="E34" s="6">
        <f>SUMPRODUCT((Grupos!$B$2:$B$73=$A34)*((Grupos!$C$2:$C$73=$B34)+(Grupos!$D$2:$D$73=$B34))*(Grupos!$G$2:$G$73=Grupos!$H$2:$H$73)*(Grupos!$G$2:$G$73&lt;&gt;""))</f>
        <v/>
      </c>
      <c r="F34" s="6">
        <f>C34-D34-E34</f>
        <v/>
      </c>
      <c r="G34" s="6">
        <f>SUMPRODUCT((Grupos!$B$2:$B$73=$A34)*(Grupos!$C$2:$C$73=$B34)*Grupos!$G$2:$G$73)+SUMPRODUCT((Grupos!$B$2:$B$73=$A34)*(Grupos!$D$2:$D$73=$B34)*Grupos!$H$2:$H$73)</f>
        <v/>
      </c>
      <c r="H34" s="6">
        <f>SUMPRODUCT((Grupos!$B$2:$B$73=$A34)*(Grupos!$C$2:$C$73=$B34)*Grupos!$H$2:$H$73)+SUMPRODUCT((Grupos!$B$2:$B$73=$A34)*(Grupos!$D$2:$D$73=$B34)*Grupos!$G$2:$G$73)</f>
        <v/>
      </c>
      <c r="I34" s="6">
        <f>G34-H34</f>
        <v/>
      </c>
      <c r="J34" s="6">
        <f>D34*3+E34</f>
        <v/>
      </c>
      <c r="K34" s="6">
        <f>J34*1000000+I34*1000+G34*10-0</f>
        <v/>
      </c>
      <c r="L34" s="6">
        <f>1+COUNTIF($K$34:$K$37,"&gt;"&amp;K34)</f>
        <v/>
      </c>
      <c r="M34" s="6">
        <f>SUMPRODUCT((Grupos!$B$2:$B$73=$A34)*((Grupos!$C$2:$C$73=$B34)+(Grupos!$D$2:$D$73=$B34))*(Grupos!$E$2:$E$73&lt;&gt;""))</f>
        <v/>
      </c>
      <c r="N34" s="6">
        <f>SUMPRODUCT((Grupos!$B$2:$B$73=$A34)*(Grupos!$C$2:$C$73=$B34)*(Grupos!$E$2:$E$73&gt;Grupos!$F$2:$F$73))+SUMPRODUCT((Grupos!$B$2:$B$73=$A34)*(Grupos!$D$2:$D$73=$B34)*(Grupos!$F$2:$F$73&gt;Grupos!$E$2:$E$73))</f>
        <v/>
      </c>
      <c r="O34" s="6">
        <f>SUMPRODUCT((Grupos!$B$2:$B$73=$A34)*((Grupos!$C$2:$C$73=$B34)+(Grupos!$D$2:$D$73=$B34))*(Grupos!$E$2:$E$73=Grupos!$F$2:$F$73)*(Grupos!$E$2:$E$73&lt;&gt;""))</f>
        <v/>
      </c>
      <c r="P34" s="6">
        <f>M34-N34-O34</f>
        <v/>
      </c>
      <c r="Q34" s="6">
        <f>SUMPRODUCT((Grupos!$B$2:$B$73=$A34)*(Grupos!$C$2:$C$73=$B34)*Grupos!$E$2:$E$73)+SUMPRODUCT((Grupos!$B$2:$B$73=$A34)*(Grupos!$D$2:$D$73=$B34)*Grupos!$F$2:$F$73)</f>
        <v/>
      </c>
      <c r="R34" s="6">
        <f>SUMPRODUCT((Grupos!$B$2:$B$73=$A34)*(Grupos!$C$2:$C$73=$B34)*Grupos!$F$2:$F$73)+SUMPRODUCT((Grupos!$B$2:$B$73=$A34)*(Grupos!$D$2:$D$73=$B34)*Grupos!$E$2:$E$73)</f>
        <v/>
      </c>
      <c r="S34" s="6">
        <f>Q34-R34</f>
        <v/>
      </c>
      <c r="T34" s="6">
        <f>N34*3+O34</f>
        <v/>
      </c>
      <c r="U34" s="6">
        <f>T34*1000000+S34*1000+Q34*10-0</f>
        <v/>
      </c>
      <c r="V34" s="6">
        <f>1+COUNTIF($U$34:$U$37,"&gt;"&amp;U34)</f>
        <v/>
      </c>
      <c r="W34" s="6" t="n">
        <v>1</v>
      </c>
      <c r="X34" s="6">
        <f>INDEX($B$34:$B$37,MATCH(W34,$L$34:$L$37,0))</f>
        <v/>
      </c>
      <c r="Y34" s="6">
        <f>INDEX($B$34:$B$37,MATCH(W34,$V$34:$V$37,0))</f>
        <v/>
      </c>
      <c r="Z34" s="6">
        <f>IF(AND(X34&lt;&gt;"",X34=Y34),1,0)</f>
        <v/>
      </c>
      <c r="AA34" s="6">
        <f>INDEX($J$34:$J$37,MATCH(W34,$L$34:$L$37,0))</f>
        <v/>
      </c>
      <c r="AB34" s="6">
        <f>INDEX($I$34:$I$37,MATCH(W34,$L$34:$L$37,0))</f>
        <v/>
      </c>
      <c r="AC34" s="6">
        <f>INDEX($G$34:$G$37,MATCH(W34,$L$34:$L$37,0))</f>
        <v/>
      </c>
      <c r="AD34" s="6">
        <f>INDEX($T$34:$T$37,MATCH(W34,$V$34:$V$37,0))</f>
        <v/>
      </c>
      <c r="AE34" s="6">
        <f>INDEX($S$34:$S$37,MATCH(W34,$V$34:$V$37,0))</f>
        <v/>
      </c>
      <c r="AF34" s="6">
        <f>INDEX($Q$34:$Q$37,MATCH(W34,$V$34:$V$37,0))</f>
        <v/>
      </c>
    </row>
    <row r="35">
      <c r="A35" s="6" t="inlineStr">
        <is>
          <t>I</t>
        </is>
      </c>
      <c r="B35" s="6" t="inlineStr">
        <is>
          <t>Senegal</t>
        </is>
      </c>
      <c r="C35" s="6">
        <f>SUMPRODUCT((Grupos!$B$2:$B$73=$A35)*((Grupos!$C$2:$C$73=$B35)+(Grupos!$D$2:$D$73=$B35))*(Grupos!$G$2:$G$73&lt;&gt;""))</f>
        <v/>
      </c>
      <c r="D35" s="6">
        <f>SUMPRODUCT((Grupos!$B$2:$B$73=$A35)*(Grupos!$C$2:$C$73=$B35)*(Grupos!$G$2:$G$73&gt;Grupos!$H$2:$H$73))+SUMPRODUCT((Grupos!$B$2:$B$73=$A35)*(Grupos!$D$2:$D$73=$B35)*(Grupos!$H$2:$H$73&gt;Grupos!$G$2:$G$73))</f>
        <v/>
      </c>
      <c r="E35" s="6">
        <f>SUMPRODUCT((Grupos!$B$2:$B$73=$A35)*((Grupos!$C$2:$C$73=$B35)+(Grupos!$D$2:$D$73=$B35))*(Grupos!$G$2:$G$73=Grupos!$H$2:$H$73)*(Grupos!$G$2:$G$73&lt;&gt;""))</f>
        <v/>
      </c>
      <c r="F35" s="6">
        <f>C35-D35-E35</f>
        <v/>
      </c>
      <c r="G35" s="6">
        <f>SUMPRODUCT((Grupos!$B$2:$B$73=$A35)*(Grupos!$C$2:$C$73=$B35)*Grupos!$G$2:$G$73)+SUMPRODUCT((Grupos!$B$2:$B$73=$A35)*(Grupos!$D$2:$D$73=$B35)*Grupos!$H$2:$H$73)</f>
        <v/>
      </c>
      <c r="H35" s="6">
        <f>SUMPRODUCT((Grupos!$B$2:$B$73=$A35)*(Grupos!$C$2:$C$73=$B35)*Grupos!$H$2:$H$73)+SUMPRODUCT((Grupos!$B$2:$B$73=$A35)*(Grupos!$D$2:$D$73=$B35)*Grupos!$G$2:$G$73)</f>
        <v/>
      </c>
      <c r="I35" s="6">
        <f>G35-H35</f>
        <v/>
      </c>
      <c r="J35" s="6">
        <f>D35*3+E35</f>
        <v/>
      </c>
      <c r="K35" s="6">
        <f>J35*1000000+I35*1000+G35*10-1</f>
        <v/>
      </c>
      <c r="L35" s="6">
        <f>1+COUNTIF($K$34:$K$37,"&gt;"&amp;K35)</f>
        <v/>
      </c>
      <c r="M35" s="6">
        <f>SUMPRODUCT((Grupos!$B$2:$B$73=$A35)*((Grupos!$C$2:$C$73=$B35)+(Grupos!$D$2:$D$73=$B35))*(Grupos!$E$2:$E$73&lt;&gt;""))</f>
        <v/>
      </c>
      <c r="N35" s="6">
        <f>SUMPRODUCT((Grupos!$B$2:$B$73=$A35)*(Grupos!$C$2:$C$73=$B35)*(Grupos!$E$2:$E$73&gt;Grupos!$F$2:$F$73))+SUMPRODUCT((Grupos!$B$2:$B$73=$A35)*(Grupos!$D$2:$D$73=$B35)*(Grupos!$F$2:$F$73&gt;Grupos!$E$2:$E$73))</f>
        <v/>
      </c>
      <c r="O35" s="6">
        <f>SUMPRODUCT((Grupos!$B$2:$B$73=$A35)*((Grupos!$C$2:$C$73=$B35)+(Grupos!$D$2:$D$73=$B35))*(Grupos!$E$2:$E$73=Grupos!$F$2:$F$73)*(Grupos!$E$2:$E$73&lt;&gt;""))</f>
        <v/>
      </c>
      <c r="P35" s="6">
        <f>M35-N35-O35</f>
        <v/>
      </c>
      <c r="Q35" s="6">
        <f>SUMPRODUCT((Grupos!$B$2:$B$73=$A35)*(Grupos!$C$2:$C$73=$B35)*Grupos!$E$2:$E$73)+SUMPRODUCT((Grupos!$B$2:$B$73=$A35)*(Grupos!$D$2:$D$73=$B35)*Grupos!$F$2:$F$73)</f>
        <v/>
      </c>
      <c r="R35" s="6">
        <f>SUMPRODUCT((Grupos!$B$2:$B$73=$A35)*(Grupos!$C$2:$C$73=$B35)*Grupos!$F$2:$F$73)+SUMPRODUCT((Grupos!$B$2:$B$73=$A35)*(Grupos!$D$2:$D$73=$B35)*Grupos!$E$2:$E$73)</f>
        <v/>
      </c>
      <c r="S35" s="6">
        <f>Q35-R35</f>
        <v/>
      </c>
      <c r="T35" s="6">
        <f>N35*3+O35</f>
        <v/>
      </c>
      <c r="U35" s="6">
        <f>T35*1000000+S35*1000+Q35*10-1</f>
        <v/>
      </c>
      <c r="V35" s="6">
        <f>1+COUNTIF($U$34:$U$37,"&gt;"&amp;U35)</f>
        <v/>
      </c>
      <c r="W35" s="6" t="n">
        <v>2</v>
      </c>
      <c r="X35" s="6">
        <f>INDEX($B$34:$B$37,MATCH(W35,$L$34:$L$37,0))</f>
        <v/>
      </c>
      <c r="Y35" s="6">
        <f>INDEX($B$34:$B$37,MATCH(W35,$V$34:$V$37,0))</f>
        <v/>
      </c>
      <c r="Z35" s="6">
        <f>IF(AND(X35&lt;&gt;"",X35=Y35),1,0)</f>
        <v/>
      </c>
      <c r="AA35" s="6">
        <f>INDEX($J$34:$J$37,MATCH(W35,$L$34:$L$37,0))</f>
        <v/>
      </c>
      <c r="AB35" s="6">
        <f>INDEX($I$34:$I$37,MATCH(W35,$L$34:$L$37,0))</f>
        <v/>
      </c>
      <c r="AC35" s="6">
        <f>INDEX($G$34:$G$37,MATCH(W35,$L$34:$L$37,0))</f>
        <v/>
      </c>
      <c r="AD35" s="6">
        <f>INDEX($T$34:$T$37,MATCH(W35,$V$34:$V$37,0))</f>
        <v/>
      </c>
      <c r="AE35" s="6">
        <f>INDEX($S$34:$S$37,MATCH(W35,$V$34:$V$37,0))</f>
        <v/>
      </c>
      <c r="AF35" s="6">
        <f>INDEX($Q$34:$Q$37,MATCH(W35,$V$34:$V$37,0))</f>
        <v/>
      </c>
    </row>
    <row r="36">
      <c r="A36" s="6" t="inlineStr">
        <is>
          <t>I</t>
        </is>
      </c>
      <c r="B36" s="6" t="inlineStr">
        <is>
          <t>Irak</t>
        </is>
      </c>
      <c r="C36" s="6">
        <f>SUMPRODUCT((Grupos!$B$2:$B$73=$A36)*((Grupos!$C$2:$C$73=$B36)+(Grupos!$D$2:$D$73=$B36))*(Grupos!$G$2:$G$73&lt;&gt;""))</f>
        <v/>
      </c>
      <c r="D36" s="6">
        <f>SUMPRODUCT((Grupos!$B$2:$B$73=$A36)*(Grupos!$C$2:$C$73=$B36)*(Grupos!$G$2:$G$73&gt;Grupos!$H$2:$H$73))+SUMPRODUCT((Grupos!$B$2:$B$73=$A36)*(Grupos!$D$2:$D$73=$B36)*(Grupos!$H$2:$H$73&gt;Grupos!$G$2:$G$73))</f>
        <v/>
      </c>
      <c r="E36" s="6">
        <f>SUMPRODUCT((Grupos!$B$2:$B$73=$A36)*((Grupos!$C$2:$C$73=$B36)+(Grupos!$D$2:$D$73=$B36))*(Grupos!$G$2:$G$73=Grupos!$H$2:$H$73)*(Grupos!$G$2:$G$73&lt;&gt;""))</f>
        <v/>
      </c>
      <c r="F36" s="6">
        <f>C36-D36-E36</f>
        <v/>
      </c>
      <c r="G36" s="6">
        <f>SUMPRODUCT((Grupos!$B$2:$B$73=$A36)*(Grupos!$C$2:$C$73=$B36)*Grupos!$G$2:$G$73)+SUMPRODUCT((Grupos!$B$2:$B$73=$A36)*(Grupos!$D$2:$D$73=$B36)*Grupos!$H$2:$H$73)</f>
        <v/>
      </c>
      <c r="H36" s="6">
        <f>SUMPRODUCT((Grupos!$B$2:$B$73=$A36)*(Grupos!$C$2:$C$73=$B36)*Grupos!$H$2:$H$73)+SUMPRODUCT((Grupos!$B$2:$B$73=$A36)*(Grupos!$D$2:$D$73=$B36)*Grupos!$G$2:$G$73)</f>
        <v/>
      </c>
      <c r="I36" s="6">
        <f>G36-H36</f>
        <v/>
      </c>
      <c r="J36" s="6">
        <f>D36*3+E36</f>
        <v/>
      </c>
      <c r="K36" s="6">
        <f>J36*1000000+I36*1000+G36*10-2</f>
        <v/>
      </c>
      <c r="L36" s="6">
        <f>1+COUNTIF($K$34:$K$37,"&gt;"&amp;K36)</f>
        <v/>
      </c>
      <c r="M36" s="6">
        <f>SUMPRODUCT((Grupos!$B$2:$B$73=$A36)*((Grupos!$C$2:$C$73=$B36)+(Grupos!$D$2:$D$73=$B36))*(Grupos!$E$2:$E$73&lt;&gt;""))</f>
        <v/>
      </c>
      <c r="N36" s="6">
        <f>SUMPRODUCT((Grupos!$B$2:$B$73=$A36)*(Grupos!$C$2:$C$73=$B36)*(Grupos!$E$2:$E$73&gt;Grupos!$F$2:$F$73))+SUMPRODUCT((Grupos!$B$2:$B$73=$A36)*(Grupos!$D$2:$D$73=$B36)*(Grupos!$F$2:$F$73&gt;Grupos!$E$2:$E$73))</f>
        <v/>
      </c>
      <c r="O36" s="6">
        <f>SUMPRODUCT((Grupos!$B$2:$B$73=$A36)*((Grupos!$C$2:$C$73=$B36)+(Grupos!$D$2:$D$73=$B36))*(Grupos!$E$2:$E$73=Grupos!$F$2:$F$73)*(Grupos!$E$2:$E$73&lt;&gt;""))</f>
        <v/>
      </c>
      <c r="P36" s="6">
        <f>M36-N36-O36</f>
        <v/>
      </c>
      <c r="Q36" s="6">
        <f>SUMPRODUCT((Grupos!$B$2:$B$73=$A36)*(Grupos!$C$2:$C$73=$B36)*Grupos!$E$2:$E$73)+SUMPRODUCT((Grupos!$B$2:$B$73=$A36)*(Grupos!$D$2:$D$73=$B36)*Grupos!$F$2:$F$73)</f>
        <v/>
      </c>
      <c r="R36" s="6">
        <f>SUMPRODUCT((Grupos!$B$2:$B$73=$A36)*(Grupos!$C$2:$C$73=$B36)*Grupos!$F$2:$F$73)+SUMPRODUCT((Grupos!$B$2:$B$73=$A36)*(Grupos!$D$2:$D$73=$B36)*Grupos!$E$2:$E$73)</f>
        <v/>
      </c>
      <c r="S36" s="6">
        <f>Q36-R36</f>
        <v/>
      </c>
      <c r="T36" s="6">
        <f>N36*3+O36</f>
        <v/>
      </c>
      <c r="U36" s="6">
        <f>T36*1000000+S36*1000+Q36*10-2</f>
        <v/>
      </c>
      <c r="V36" s="6">
        <f>1+COUNTIF($U$34:$U$37,"&gt;"&amp;U36)</f>
        <v/>
      </c>
      <c r="W36" s="6" t="n">
        <v>3</v>
      </c>
      <c r="X36" s="6">
        <f>INDEX($B$34:$B$37,MATCH(W36,$L$34:$L$37,0))</f>
        <v/>
      </c>
      <c r="Y36" s="6">
        <f>INDEX($B$34:$B$37,MATCH(W36,$V$34:$V$37,0))</f>
        <v/>
      </c>
      <c r="Z36" s="6">
        <f>IF(AND(X36&lt;&gt;"",X36=Y36),1,0)</f>
        <v/>
      </c>
      <c r="AA36" s="6">
        <f>INDEX($J$34:$J$37,MATCH(W36,$L$34:$L$37,0))</f>
        <v/>
      </c>
      <c r="AB36" s="6">
        <f>INDEX($I$34:$I$37,MATCH(W36,$L$34:$L$37,0))</f>
        <v/>
      </c>
      <c r="AC36" s="6">
        <f>INDEX($G$34:$G$37,MATCH(W36,$L$34:$L$37,0))</f>
        <v/>
      </c>
      <c r="AD36" s="6">
        <f>INDEX($T$34:$T$37,MATCH(W36,$V$34:$V$37,0))</f>
        <v/>
      </c>
      <c r="AE36" s="6">
        <f>INDEX($S$34:$S$37,MATCH(W36,$V$34:$V$37,0))</f>
        <v/>
      </c>
      <c r="AF36" s="6">
        <f>INDEX($Q$34:$Q$37,MATCH(W36,$V$34:$V$37,0))</f>
        <v/>
      </c>
    </row>
    <row r="37">
      <c r="A37" s="6" t="inlineStr">
        <is>
          <t>I</t>
        </is>
      </c>
      <c r="B37" s="6" t="inlineStr">
        <is>
          <t>Noruega</t>
        </is>
      </c>
      <c r="C37" s="6">
        <f>SUMPRODUCT((Grupos!$B$2:$B$73=$A37)*((Grupos!$C$2:$C$73=$B37)+(Grupos!$D$2:$D$73=$B37))*(Grupos!$G$2:$G$73&lt;&gt;""))</f>
        <v/>
      </c>
      <c r="D37" s="6">
        <f>SUMPRODUCT((Grupos!$B$2:$B$73=$A37)*(Grupos!$C$2:$C$73=$B37)*(Grupos!$G$2:$G$73&gt;Grupos!$H$2:$H$73))+SUMPRODUCT((Grupos!$B$2:$B$73=$A37)*(Grupos!$D$2:$D$73=$B37)*(Grupos!$H$2:$H$73&gt;Grupos!$G$2:$G$73))</f>
        <v/>
      </c>
      <c r="E37" s="6">
        <f>SUMPRODUCT((Grupos!$B$2:$B$73=$A37)*((Grupos!$C$2:$C$73=$B37)+(Grupos!$D$2:$D$73=$B37))*(Grupos!$G$2:$G$73=Grupos!$H$2:$H$73)*(Grupos!$G$2:$G$73&lt;&gt;""))</f>
        <v/>
      </c>
      <c r="F37" s="6">
        <f>C37-D37-E37</f>
        <v/>
      </c>
      <c r="G37" s="6">
        <f>SUMPRODUCT((Grupos!$B$2:$B$73=$A37)*(Grupos!$C$2:$C$73=$B37)*Grupos!$G$2:$G$73)+SUMPRODUCT((Grupos!$B$2:$B$73=$A37)*(Grupos!$D$2:$D$73=$B37)*Grupos!$H$2:$H$73)</f>
        <v/>
      </c>
      <c r="H37" s="6">
        <f>SUMPRODUCT((Grupos!$B$2:$B$73=$A37)*(Grupos!$C$2:$C$73=$B37)*Grupos!$H$2:$H$73)+SUMPRODUCT((Grupos!$B$2:$B$73=$A37)*(Grupos!$D$2:$D$73=$B37)*Grupos!$G$2:$G$73)</f>
        <v/>
      </c>
      <c r="I37" s="6">
        <f>G37-H37</f>
        <v/>
      </c>
      <c r="J37" s="6">
        <f>D37*3+E37</f>
        <v/>
      </c>
      <c r="K37" s="6">
        <f>J37*1000000+I37*1000+G37*10-3</f>
        <v/>
      </c>
      <c r="L37" s="6">
        <f>1+COUNTIF($K$34:$K$37,"&gt;"&amp;K37)</f>
        <v/>
      </c>
      <c r="M37" s="6">
        <f>SUMPRODUCT((Grupos!$B$2:$B$73=$A37)*((Grupos!$C$2:$C$73=$B37)+(Grupos!$D$2:$D$73=$B37))*(Grupos!$E$2:$E$73&lt;&gt;""))</f>
        <v/>
      </c>
      <c r="N37" s="6">
        <f>SUMPRODUCT((Grupos!$B$2:$B$73=$A37)*(Grupos!$C$2:$C$73=$B37)*(Grupos!$E$2:$E$73&gt;Grupos!$F$2:$F$73))+SUMPRODUCT((Grupos!$B$2:$B$73=$A37)*(Grupos!$D$2:$D$73=$B37)*(Grupos!$F$2:$F$73&gt;Grupos!$E$2:$E$73))</f>
        <v/>
      </c>
      <c r="O37" s="6">
        <f>SUMPRODUCT((Grupos!$B$2:$B$73=$A37)*((Grupos!$C$2:$C$73=$B37)+(Grupos!$D$2:$D$73=$B37))*(Grupos!$E$2:$E$73=Grupos!$F$2:$F$73)*(Grupos!$E$2:$E$73&lt;&gt;""))</f>
        <v/>
      </c>
      <c r="P37" s="6">
        <f>M37-N37-O37</f>
        <v/>
      </c>
      <c r="Q37" s="6">
        <f>SUMPRODUCT((Grupos!$B$2:$B$73=$A37)*(Grupos!$C$2:$C$73=$B37)*Grupos!$E$2:$E$73)+SUMPRODUCT((Grupos!$B$2:$B$73=$A37)*(Grupos!$D$2:$D$73=$B37)*Grupos!$F$2:$F$73)</f>
        <v/>
      </c>
      <c r="R37" s="6">
        <f>SUMPRODUCT((Grupos!$B$2:$B$73=$A37)*(Grupos!$C$2:$C$73=$B37)*Grupos!$F$2:$F$73)+SUMPRODUCT((Grupos!$B$2:$B$73=$A37)*(Grupos!$D$2:$D$73=$B37)*Grupos!$E$2:$E$73)</f>
        <v/>
      </c>
      <c r="S37" s="6">
        <f>Q37-R37</f>
        <v/>
      </c>
      <c r="T37" s="6">
        <f>N37*3+O37</f>
        <v/>
      </c>
      <c r="U37" s="6">
        <f>T37*1000000+S37*1000+Q37*10-3</f>
        <v/>
      </c>
      <c r="V37" s="6">
        <f>1+COUNTIF($U$34:$U$37,"&gt;"&amp;U37)</f>
        <v/>
      </c>
      <c r="W37" s="6" t="n">
        <v>4</v>
      </c>
      <c r="X37" s="6">
        <f>INDEX($B$34:$B$37,MATCH(W37,$L$34:$L$37,0))</f>
        <v/>
      </c>
      <c r="Y37" s="6">
        <f>INDEX($B$34:$B$37,MATCH(W37,$V$34:$V$37,0))</f>
        <v/>
      </c>
      <c r="Z37" s="6">
        <f>IF(AND(X37&lt;&gt;"",X37=Y37),1,0)</f>
        <v/>
      </c>
      <c r="AA37" s="6">
        <f>INDEX($J$34:$J$37,MATCH(W37,$L$34:$L$37,0))</f>
        <v/>
      </c>
      <c r="AB37" s="6">
        <f>INDEX($I$34:$I$37,MATCH(W37,$L$34:$L$37,0))</f>
        <v/>
      </c>
      <c r="AC37" s="6">
        <f>INDEX($G$34:$G$37,MATCH(W37,$L$34:$L$37,0))</f>
        <v/>
      </c>
      <c r="AD37" s="6">
        <f>INDEX($T$34:$T$37,MATCH(W37,$V$34:$V$37,0))</f>
        <v/>
      </c>
      <c r="AE37" s="6">
        <f>INDEX($S$34:$S$37,MATCH(W37,$V$34:$V$37,0))</f>
        <v/>
      </c>
      <c r="AF37" s="6">
        <f>INDEX($Q$34:$Q$37,MATCH(W37,$V$34:$V$37,0))</f>
        <v/>
      </c>
    </row>
    <row r="38">
      <c r="A38" s="6" t="inlineStr">
        <is>
          <t>J</t>
        </is>
      </c>
      <c r="B38" s="6" t="inlineStr">
        <is>
          <t>Argentina</t>
        </is>
      </c>
      <c r="C38" s="6">
        <f>SUMPRODUCT((Grupos!$B$2:$B$73=$A38)*((Grupos!$C$2:$C$73=$B38)+(Grupos!$D$2:$D$73=$B38))*(Grupos!$G$2:$G$73&lt;&gt;""))</f>
        <v/>
      </c>
      <c r="D38" s="6">
        <f>SUMPRODUCT((Grupos!$B$2:$B$73=$A38)*(Grupos!$C$2:$C$73=$B38)*(Grupos!$G$2:$G$73&gt;Grupos!$H$2:$H$73))+SUMPRODUCT((Grupos!$B$2:$B$73=$A38)*(Grupos!$D$2:$D$73=$B38)*(Grupos!$H$2:$H$73&gt;Grupos!$G$2:$G$73))</f>
        <v/>
      </c>
      <c r="E38" s="6">
        <f>SUMPRODUCT((Grupos!$B$2:$B$73=$A38)*((Grupos!$C$2:$C$73=$B38)+(Grupos!$D$2:$D$73=$B38))*(Grupos!$G$2:$G$73=Grupos!$H$2:$H$73)*(Grupos!$G$2:$G$73&lt;&gt;""))</f>
        <v/>
      </c>
      <c r="F38" s="6">
        <f>C38-D38-E38</f>
        <v/>
      </c>
      <c r="G38" s="6">
        <f>SUMPRODUCT((Grupos!$B$2:$B$73=$A38)*(Grupos!$C$2:$C$73=$B38)*Grupos!$G$2:$G$73)+SUMPRODUCT((Grupos!$B$2:$B$73=$A38)*(Grupos!$D$2:$D$73=$B38)*Grupos!$H$2:$H$73)</f>
        <v/>
      </c>
      <c r="H38" s="6">
        <f>SUMPRODUCT((Grupos!$B$2:$B$73=$A38)*(Grupos!$C$2:$C$73=$B38)*Grupos!$H$2:$H$73)+SUMPRODUCT((Grupos!$B$2:$B$73=$A38)*(Grupos!$D$2:$D$73=$B38)*Grupos!$G$2:$G$73)</f>
        <v/>
      </c>
      <c r="I38" s="6">
        <f>G38-H38</f>
        <v/>
      </c>
      <c r="J38" s="6">
        <f>D38*3+E38</f>
        <v/>
      </c>
      <c r="K38" s="6">
        <f>J38*1000000+I38*1000+G38*10-0</f>
        <v/>
      </c>
      <c r="L38" s="6">
        <f>1+COUNTIF($K$38:$K$41,"&gt;"&amp;K38)</f>
        <v/>
      </c>
      <c r="M38" s="6">
        <f>SUMPRODUCT((Grupos!$B$2:$B$73=$A38)*((Grupos!$C$2:$C$73=$B38)+(Grupos!$D$2:$D$73=$B38))*(Grupos!$E$2:$E$73&lt;&gt;""))</f>
        <v/>
      </c>
      <c r="N38" s="6">
        <f>SUMPRODUCT((Grupos!$B$2:$B$73=$A38)*(Grupos!$C$2:$C$73=$B38)*(Grupos!$E$2:$E$73&gt;Grupos!$F$2:$F$73))+SUMPRODUCT((Grupos!$B$2:$B$73=$A38)*(Grupos!$D$2:$D$73=$B38)*(Grupos!$F$2:$F$73&gt;Grupos!$E$2:$E$73))</f>
        <v/>
      </c>
      <c r="O38" s="6">
        <f>SUMPRODUCT((Grupos!$B$2:$B$73=$A38)*((Grupos!$C$2:$C$73=$B38)+(Grupos!$D$2:$D$73=$B38))*(Grupos!$E$2:$E$73=Grupos!$F$2:$F$73)*(Grupos!$E$2:$E$73&lt;&gt;""))</f>
        <v/>
      </c>
      <c r="P38" s="6">
        <f>M38-N38-O38</f>
        <v/>
      </c>
      <c r="Q38" s="6">
        <f>SUMPRODUCT((Grupos!$B$2:$B$73=$A38)*(Grupos!$C$2:$C$73=$B38)*Grupos!$E$2:$E$73)+SUMPRODUCT((Grupos!$B$2:$B$73=$A38)*(Grupos!$D$2:$D$73=$B38)*Grupos!$F$2:$F$73)</f>
        <v/>
      </c>
      <c r="R38" s="6">
        <f>SUMPRODUCT((Grupos!$B$2:$B$73=$A38)*(Grupos!$C$2:$C$73=$B38)*Grupos!$F$2:$F$73)+SUMPRODUCT((Grupos!$B$2:$B$73=$A38)*(Grupos!$D$2:$D$73=$B38)*Grupos!$E$2:$E$73)</f>
        <v/>
      </c>
      <c r="S38" s="6">
        <f>Q38-R38</f>
        <v/>
      </c>
      <c r="T38" s="6">
        <f>N38*3+O38</f>
        <v/>
      </c>
      <c r="U38" s="6">
        <f>T38*1000000+S38*1000+Q38*10-0</f>
        <v/>
      </c>
      <c r="V38" s="6">
        <f>1+COUNTIF($U$38:$U$41,"&gt;"&amp;U38)</f>
        <v/>
      </c>
      <c r="W38" s="6" t="n">
        <v>1</v>
      </c>
      <c r="X38" s="6">
        <f>INDEX($B$38:$B$41,MATCH(W38,$L$38:$L$41,0))</f>
        <v/>
      </c>
      <c r="Y38" s="6">
        <f>INDEX($B$38:$B$41,MATCH(W38,$V$38:$V$41,0))</f>
        <v/>
      </c>
      <c r="Z38" s="6">
        <f>IF(AND(X38&lt;&gt;"",X38=Y38),1,0)</f>
        <v/>
      </c>
      <c r="AA38" s="6">
        <f>INDEX($J$38:$J$41,MATCH(W38,$L$38:$L$41,0))</f>
        <v/>
      </c>
      <c r="AB38" s="6">
        <f>INDEX($I$38:$I$41,MATCH(W38,$L$38:$L$41,0))</f>
        <v/>
      </c>
      <c r="AC38" s="6">
        <f>INDEX($G$38:$G$41,MATCH(W38,$L$38:$L$41,0))</f>
        <v/>
      </c>
      <c r="AD38" s="6">
        <f>INDEX($T$38:$T$41,MATCH(W38,$V$38:$V$41,0))</f>
        <v/>
      </c>
      <c r="AE38" s="6">
        <f>INDEX($S$38:$S$41,MATCH(W38,$V$38:$V$41,0))</f>
        <v/>
      </c>
      <c r="AF38" s="6">
        <f>INDEX($Q$38:$Q$41,MATCH(W38,$V$38:$V$41,0))</f>
        <v/>
      </c>
    </row>
    <row r="39">
      <c r="A39" s="6" t="inlineStr">
        <is>
          <t>J</t>
        </is>
      </c>
      <c r="B39" s="6" t="inlineStr">
        <is>
          <t>Argelia</t>
        </is>
      </c>
      <c r="C39" s="6">
        <f>SUMPRODUCT((Grupos!$B$2:$B$73=$A39)*((Grupos!$C$2:$C$73=$B39)+(Grupos!$D$2:$D$73=$B39))*(Grupos!$G$2:$G$73&lt;&gt;""))</f>
        <v/>
      </c>
      <c r="D39" s="6">
        <f>SUMPRODUCT((Grupos!$B$2:$B$73=$A39)*(Grupos!$C$2:$C$73=$B39)*(Grupos!$G$2:$G$73&gt;Grupos!$H$2:$H$73))+SUMPRODUCT((Grupos!$B$2:$B$73=$A39)*(Grupos!$D$2:$D$73=$B39)*(Grupos!$H$2:$H$73&gt;Grupos!$G$2:$G$73))</f>
        <v/>
      </c>
      <c r="E39" s="6">
        <f>SUMPRODUCT((Grupos!$B$2:$B$73=$A39)*((Grupos!$C$2:$C$73=$B39)+(Grupos!$D$2:$D$73=$B39))*(Grupos!$G$2:$G$73=Grupos!$H$2:$H$73)*(Grupos!$G$2:$G$73&lt;&gt;""))</f>
        <v/>
      </c>
      <c r="F39" s="6">
        <f>C39-D39-E39</f>
        <v/>
      </c>
      <c r="G39" s="6">
        <f>SUMPRODUCT((Grupos!$B$2:$B$73=$A39)*(Grupos!$C$2:$C$73=$B39)*Grupos!$G$2:$G$73)+SUMPRODUCT((Grupos!$B$2:$B$73=$A39)*(Grupos!$D$2:$D$73=$B39)*Grupos!$H$2:$H$73)</f>
        <v/>
      </c>
      <c r="H39" s="6">
        <f>SUMPRODUCT((Grupos!$B$2:$B$73=$A39)*(Grupos!$C$2:$C$73=$B39)*Grupos!$H$2:$H$73)+SUMPRODUCT((Grupos!$B$2:$B$73=$A39)*(Grupos!$D$2:$D$73=$B39)*Grupos!$G$2:$G$73)</f>
        <v/>
      </c>
      <c r="I39" s="6">
        <f>G39-H39</f>
        <v/>
      </c>
      <c r="J39" s="6">
        <f>D39*3+E39</f>
        <v/>
      </c>
      <c r="K39" s="6">
        <f>J39*1000000+I39*1000+G39*10-1</f>
        <v/>
      </c>
      <c r="L39" s="6">
        <f>1+COUNTIF($K$38:$K$41,"&gt;"&amp;K39)</f>
        <v/>
      </c>
      <c r="M39" s="6">
        <f>SUMPRODUCT((Grupos!$B$2:$B$73=$A39)*((Grupos!$C$2:$C$73=$B39)+(Grupos!$D$2:$D$73=$B39))*(Grupos!$E$2:$E$73&lt;&gt;""))</f>
        <v/>
      </c>
      <c r="N39" s="6">
        <f>SUMPRODUCT((Grupos!$B$2:$B$73=$A39)*(Grupos!$C$2:$C$73=$B39)*(Grupos!$E$2:$E$73&gt;Grupos!$F$2:$F$73))+SUMPRODUCT((Grupos!$B$2:$B$73=$A39)*(Grupos!$D$2:$D$73=$B39)*(Grupos!$F$2:$F$73&gt;Grupos!$E$2:$E$73))</f>
        <v/>
      </c>
      <c r="O39" s="6">
        <f>SUMPRODUCT((Grupos!$B$2:$B$73=$A39)*((Grupos!$C$2:$C$73=$B39)+(Grupos!$D$2:$D$73=$B39))*(Grupos!$E$2:$E$73=Grupos!$F$2:$F$73)*(Grupos!$E$2:$E$73&lt;&gt;""))</f>
        <v/>
      </c>
      <c r="P39" s="6">
        <f>M39-N39-O39</f>
        <v/>
      </c>
      <c r="Q39" s="6">
        <f>SUMPRODUCT((Grupos!$B$2:$B$73=$A39)*(Grupos!$C$2:$C$73=$B39)*Grupos!$E$2:$E$73)+SUMPRODUCT((Grupos!$B$2:$B$73=$A39)*(Grupos!$D$2:$D$73=$B39)*Grupos!$F$2:$F$73)</f>
        <v/>
      </c>
      <c r="R39" s="6">
        <f>SUMPRODUCT((Grupos!$B$2:$B$73=$A39)*(Grupos!$C$2:$C$73=$B39)*Grupos!$F$2:$F$73)+SUMPRODUCT((Grupos!$B$2:$B$73=$A39)*(Grupos!$D$2:$D$73=$B39)*Grupos!$E$2:$E$73)</f>
        <v/>
      </c>
      <c r="S39" s="6">
        <f>Q39-R39</f>
        <v/>
      </c>
      <c r="T39" s="6">
        <f>N39*3+O39</f>
        <v/>
      </c>
      <c r="U39" s="6">
        <f>T39*1000000+S39*1000+Q39*10-1</f>
        <v/>
      </c>
      <c r="V39" s="6">
        <f>1+COUNTIF($U$38:$U$41,"&gt;"&amp;U39)</f>
        <v/>
      </c>
      <c r="W39" s="6" t="n">
        <v>2</v>
      </c>
      <c r="X39" s="6">
        <f>INDEX($B$38:$B$41,MATCH(W39,$L$38:$L$41,0))</f>
        <v/>
      </c>
      <c r="Y39" s="6">
        <f>INDEX($B$38:$B$41,MATCH(W39,$V$38:$V$41,0))</f>
        <v/>
      </c>
      <c r="Z39" s="6">
        <f>IF(AND(X39&lt;&gt;"",X39=Y39),1,0)</f>
        <v/>
      </c>
      <c r="AA39" s="6">
        <f>INDEX($J$38:$J$41,MATCH(W39,$L$38:$L$41,0))</f>
        <v/>
      </c>
      <c r="AB39" s="6">
        <f>INDEX($I$38:$I$41,MATCH(W39,$L$38:$L$41,0))</f>
        <v/>
      </c>
      <c r="AC39" s="6">
        <f>INDEX($G$38:$G$41,MATCH(W39,$L$38:$L$41,0))</f>
        <v/>
      </c>
      <c r="AD39" s="6">
        <f>INDEX($T$38:$T$41,MATCH(W39,$V$38:$V$41,0))</f>
        <v/>
      </c>
      <c r="AE39" s="6">
        <f>INDEX($S$38:$S$41,MATCH(W39,$V$38:$V$41,0))</f>
        <v/>
      </c>
      <c r="AF39" s="6">
        <f>INDEX($Q$38:$Q$41,MATCH(W39,$V$38:$V$41,0))</f>
        <v/>
      </c>
    </row>
    <row r="40">
      <c r="A40" s="6" t="inlineStr">
        <is>
          <t>J</t>
        </is>
      </c>
      <c r="B40" s="6" t="inlineStr">
        <is>
          <t>Austria</t>
        </is>
      </c>
      <c r="C40" s="6">
        <f>SUMPRODUCT((Grupos!$B$2:$B$73=$A40)*((Grupos!$C$2:$C$73=$B40)+(Grupos!$D$2:$D$73=$B40))*(Grupos!$G$2:$G$73&lt;&gt;""))</f>
        <v/>
      </c>
      <c r="D40" s="6">
        <f>SUMPRODUCT((Grupos!$B$2:$B$73=$A40)*(Grupos!$C$2:$C$73=$B40)*(Grupos!$G$2:$G$73&gt;Grupos!$H$2:$H$73))+SUMPRODUCT((Grupos!$B$2:$B$73=$A40)*(Grupos!$D$2:$D$73=$B40)*(Grupos!$H$2:$H$73&gt;Grupos!$G$2:$G$73))</f>
        <v/>
      </c>
      <c r="E40" s="6">
        <f>SUMPRODUCT((Grupos!$B$2:$B$73=$A40)*((Grupos!$C$2:$C$73=$B40)+(Grupos!$D$2:$D$73=$B40))*(Grupos!$G$2:$G$73=Grupos!$H$2:$H$73)*(Grupos!$G$2:$G$73&lt;&gt;""))</f>
        <v/>
      </c>
      <c r="F40" s="6">
        <f>C40-D40-E40</f>
        <v/>
      </c>
      <c r="G40" s="6">
        <f>SUMPRODUCT((Grupos!$B$2:$B$73=$A40)*(Grupos!$C$2:$C$73=$B40)*Grupos!$G$2:$G$73)+SUMPRODUCT((Grupos!$B$2:$B$73=$A40)*(Grupos!$D$2:$D$73=$B40)*Grupos!$H$2:$H$73)</f>
        <v/>
      </c>
      <c r="H40" s="6">
        <f>SUMPRODUCT((Grupos!$B$2:$B$73=$A40)*(Grupos!$C$2:$C$73=$B40)*Grupos!$H$2:$H$73)+SUMPRODUCT((Grupos!$B$2:$B$73=$A40)*(Grupos!$D$2:$D$73=$B40)*Grupos!$G$2:$G$73)</f>
        <v/>
      </c>
      <c r="I40" s="6">
        <f>G40-H40</f>
        <v/>
      </c>
      <c r="J40" s="6">
        <f>D40*3+E40</f>
        <v/>
      </c>
      <c r="K40" s="6">
        <f>J40*1000000+I40*1000+G40*10-2</f>
        <v/>
      </c>
      <c r="L40" s="6">
        <f>1+COUNTIF($K$38:$K$41,"&gt;"&amp;K40)</f>
        <v/>
      </c>
      <c r="M40" s="6">
        <f>SUMPRODUCT((Grupos!$B$2:$B$73=$A40)*((Grupos!$C$2:$C$73=$B40)+(Grupos!$D$2:$D$73=$B40))*(Grupos!$E$2:$E$73&lt;&gt;""))</f>
        <v/>
      </c>
      <c r="N40" s="6">
        <f>SUMPRODUCT((Grupos!$B$2:$B$73=$A40)*(Grupos!$C$2:$C$73=$B40)*(Grupos!$E$2:$E$73&gt;Grupos!$F$2:$F$73))+SUMPRODUCT((Grupos!$B$2:$B$73=$A40)*(Grupos!$D$2:$D$73=$B40)*(Grupos!$F$2:$F$73&gt;Grupos!$E$2:$E$73))</f>
        <v/>
      </c>
      <c r="O40" s="6">
        <f>SUMPRODUCT((Grupos!$B$2:$B$73=$A40)*((Grupos!$C$2:$C$73=$B40)+(Grupos!$D$2:$D$73=$B40))*(Grupos!$E$2:$E$73=Grupos!$F$2:$F$73)*(Grupos!$E$2:$E$73&lt;&gt;""))</f>
        <v/>
      </c>
      <c r="P40" s="6">
        <f>M40-N40-O40</f>
        <v/>
      </c>
      <c r="Q40" s="6">
        <f>SUMPRODUCT((Grupos!$B$2:$B$73=$A40)*(Grupos!$C$2:$C$73=$B40)*Grupos!$E$2:$E$73)+SUMPRODUCT((Grupos!$B$2:$B$73=$A40)*(Grupos!$D$2:$D$73=$B40)*Grupos!$F$2:$F$73)</f>
        <v/>
      </c>
      <c r="R40" s="6">
        <f>SUMPRODUCT((Grupos!$B$2:$B$73=$A40)*(Grupos!$C$2:$C$73=$B40)*Grupos!$F$2:$F$73)+SUMPRODUCT((Grupos!$B$2:$B$73=$A40)*(Grupos!$D$2:$D$73=$B40)*Grupos!$E$2:$E$73)</f>
        <v/>
      </c>
      <c r="S40" s="6">
        <f>Q40-R40</f>
        <v/>
      </c>
      <c r="T40" s="6">
        <f>N40*3+O40</f>
        <v/>
      </c>
      <c r="U40" s="6">
        <f>T40*1000000+S40*1000+Q40*10-2</f>
        <v/>
      </c>
      <c r="V40" s="6">
        <f>1+COUNTIF($U$38:$U$41,"&gt;"&amp;U40)</f>
        <v/>
      </c>
      <c r="W40" s="6" t="n">
        <v>3</v>
      </c>
      <c r="X40" s="6">
        <f>INDEX($B$38:$B$41,MATCH(W40,$L$38:$L$41,0))</f>
        <v/>
      </c>
      <c r="Y40" s="6">
        <f>INDEX($B$38:$B$41,MATCH(W40,$V$38:$V$41,0))</f>
        <v/>
      </c>
      <c r="Z40" s="6">
        <f>IF(AND(X40&lt;&gt;"",X40=Y40),1,0)</f>
        <v/>
      </c>
      <c r="AA40" s="6">
        <f>INDEX($J$38:$J$41,MATCH(W40,$L$38:$L$41,0))</f>
        <v/>
      </c>
      <c r="AB40" s="6">
        <f>INDEX($I$38:$I$41,MATCH(W40,$L$38:$L$41,0))</f>
        <v/>
      </c>
      <c r="AC40" s="6">
        <f>INDEX($G$38:$G$41,MATCH(W40,$L$38:$L$41,0))</f>
        <v/>
      </c>
      <c r="AD40" s="6">
        <f>INDEX($T$38:$T$41,MATCH(W40,$V$38:$V$41,0))</f>
        <v/>
      </c>
      <c r="AE40" s="6">
        <f>INDEX($S$38:$S$41,MATCH(W40,$V$38:$V$41,0))</f>
        <v/>
      </c>
      <c r="AF40" s="6">
        <f>INDEX($Q$38:$Q$41,MATCH(W40,$V$38:$V$41,0))</f>
        <v/>
      </c>
    </row>
    <row r="41">
      <c r="A41" s="6" t="inlineStr">
        <is>
          <t>J</t>
        </is>
      </c>
      <c r="B41" s="6" t="inlineStr">
        <is>
          <t>Jordania</t>
        </is>
      </c>
      <c r="C41" s="6">
        <f>SUMPRODUCT((Grupos!$B$2:$B$73=$A41)*((Grupos!$C$2:$C$73=$B41)+(Grupos!$D$2:$D$73=$B41))*(Grupos!$G$2:$G$73&lt;&gt;""))</f>
        <v/>
      </c>
      <c r="D41" s="6">
        <f>SUMPRODUCT((Grupos!$B$2:$B$73=$A41)*(Grupos!$C$2:$C$73=$B41)*(Grupos!$G$2:$G$73&gt;Grupos!$H$2:$H$73))+SUMPRODUCT((Grupos!$B$2:$B$73=$A41)*(Grupos!$D$2:$D$73=$B41)*(Grupos!$H$2:$H$73&gt;Grupos!$G$2:$G$73))</f>
        <v/>
      </c>
      <c r="E41" s="6">
        <f>SUMPRODUCT((Grupos!$B$2:$B$73=$A41)*((Grupos!$C$2:$C$73=$B41)+(Grupos!$D$2:$D$73=$B41))*(Grupos!$G$2:$G$73=Grupos!$H$2:$H$73)*(Grupos!$G$2:$G$73&lt;&gt;""))</f>
        <v/>
      </c>
      <c r="F41" s="6">
        <f>C41-D41-E41</f>
        <v/>
      </c>
      <c r="G41" s="6">
        <f>SUMPRODUCT((Grupos!$B$2:$B$73=$A41)*(Grupos!$C$2:$C$73=$B41)*Grupos!$G$2:$G$73)+SUMPRODUCT((Grupos!$B$2:$B$73=$A41)*(Grupos!$D$2:$D$73=$B41)*Grupos!$H$2:$H$73)</f>
        <v/>
      </c>
      <c r="H41" s="6">
        <f>SUMPRODUCT((Grupos!$B$2:$B$73=$A41)*(Grupos!$C$2:$C$73=$B41)*Grupos!$H$2:$H$73)+SUMPRODUCT((Grupos!$B$2:$B$73=$A41)*(Grupos!$D$2:$D$73=$B41)*Grupos!$G$2:$G$73)</f>
        <v/>
      </c>
      <c r="I41" s="6">
        <f>G41-H41</f>
        <v/>
      </c>
      <c r="J41" s="6">
        <f>D41*3+E41</f>
        <v/>
      </c>
      <c r="K41" s="6">
        <f>J41*1000000+I41*1000+G41*10-3</f>
        <v/>
      </c>
      <c r="L41" s="6">
        <f>1+COUNTIF($K$38:$K$41,"&gt;"&amp;K41)</f>
        <v/>
      </c>
      <c r="M41" s="6">
        <f>SUMPRODUCT((Grupos!$B$2:$B$73=$A41)*((Grupos!$C$2:$C$73=$B41)+(Grupos!$D$2:$D$73=$B41))*(Grupos!$E$2:$E$73&lt;&gt;""))</f>
        <v/>
      </c>
      <c r="N41" s="6">
        <f>SUMPRODUCT((Grupos!$B$2:$B$73=$A41)*(Grupos!$C$2:$C$73=$B41)*(Grupos!$E$2:$E$73&gt;Grupos!$F$2:$F$73))+SUMPRODUCT((Grupos!$B$2:$B$73=$A41)*(Grupos!$D$2:$D$73=$B41)*(Grupos!$F$2:$F$73&gt;Grupos!$E$2:$E$73))</f>
        <v/>
      </c>
      <c r="O41" s="6">
        <f>SUMPRODUCT((Grupos!$B$2:$B$73=$A41)*((Grupos!$C$2:$C$73=$B41)+(Grupos!$D$2:$D$73=$B41))*(Grupos!$E$2:$E$73=Grupos!$F$2:$F$73)*(Grupos!$E$2:$E$73&lt;&gt;""))</f>
        <v/>
      </c>
      <c r="P41" s="6">
        <f>M41-N41-O41</f>
        <v/>
      </c>
      <c r="Q41" s="6">
        <f>SUMPRODUCT((Grupos!$B$2:$B$73=$A41)*(Grupos!$C$2:$C$73=$B41)*Grupos!$E$2:$E$73)+SUMPRODUCT((Grupos!$B$2:$B$73=$A41)*(Grupos!$D$2:$D$73=$B41)*Grupos!$F$2:$F$73)</f>
        <v/>
      </c>
      <c r="R41" s="6">
        <f>SUMPRODUCT((Grupos!$B$2:$B$73=$A41)*(Grupos!$C$2:$C$73=$B41)*Grupos!$F$2:$F$73)+SUMPRODUCT((Grupos!$B$2:$B$73=$A41)*(Grupos!$D$2:$D$73=$B41)*Grupos!$E$2:$E$73)</f>
        <v/>
      </c>
      <c r="S41" s="6">
        <f>Q41-R41</f>
        <v/>
      </c>
      <c r="T41" s="6">
        <f>N41*3+O41</f>
        <v/>
      </c>
      <c r="U41" s="6">
        <f>T41*1000000+S41*1000+Q41*10-3</f>
        <v/>
      </c>
      <c r="V41" s="6">
        <f>1+COUNTIF($U$38:$U$41,"&gt;"&amp;U41)</f>
        <v/>
      </c>
      <c r="W41" s="6" t="n">
        <v>4</v>
      </c>
      <c r="X41" s="6">
        <f>INDEX($B$38:$B$41,MATCH(W41,$L$38:$L$41,0))</f>
        <v/>
      </c>
      <c r="Y41" s="6">
        <f>INDEX($B$38:$B$41,MATCH(W41,$V$38:$V$41,0))</f>
        <v/>
      </c>
      <c r="Z41" s="6">
        <f>IF(AND(X41&lt;&gt;"",X41=Y41),1,0)</f>
        <v/>
      </c>
      <c r="AA41" s="6">
        <f>INDEX($J$38:$J$41,MATCH(W41,$L$38:$L$41,0))</f>
        <v/>
      </c>
      <c r="AB41" s="6">
        <f>INDEX($I$38:$I$41,MATCH(W41,$L$38:$L$41,0))</f>
        <v/>
      </c>
      <c r="AC41" s="6">
        <f>INDEX($G$38:$G$41,MATCH(W41,$L$38:$L$41,0))</f>
        <v/>
      </c>
      <c r="AD41" s="6">
        <f>INDEX($T$38:$T$41,MATCH(W41,$V$38:$V$41,0))</f>
        <v/>
      </c>
      <c r="AE41" s="6">
        <f>INDEX($S$38:$S$41,MATCH(W41,$V$38:$V$41,0))</f>
        <v/>
      </c>
      <c r="AF41" s="6">
        <f>INDEX($Q$38:$Q$41,MATCH(W41,$V$38:$V$41,0))</f>
        <v/>
      </c>
    </row>
    <row r="42">
      <c r="A42" s="6" t="inlineStr">
        <is>
          <t>K</t>
        </is>
      </c>
      <c r="B42" s="6" t="inlineStr">
        <is>
          <t>Portugal</t>
        </is>
      </c>
      <c r="C42" s="6">
        <f>SUMPRODUCT((Grupos!$B$2:$B$73=$A42)*((Grupos!$C$2:$C$73=$B42)+(Grupos!$D$2:$D$73=$B42))*(Grupos!$G$2:$G$73&lt;&gt;""))</f>
        <v/>
      </c>
      <c r="D42" s="6">
        <f>SUMPRODUCT((Grupos!$B$2:$B$73=$A42)*(Grupos!$C$2:$C$73=$B42)*(Grupos!$G$2:$G$73&gt;Grupos!$H$2:$H$73))+SUMPRODUCT((Grupos!$B$2:$B$73=$A42)*(Grupos!$D$2:$D$73=$B42)*(Grupos!$H$2:$H$73&gt;Grupos!$G$2:$G$73))</f>
        <v/>
      </c>
      <c r="E42" s="6">
        <f>SUMPRODUCT((Grupos!$B$2:$B$73=$A42)*((Grupos!$C$2:$C$73=$B42)+(Grupos!$D$2:$D$73=$B42))*(Grupos!$G$2:$G$73=Grupos!$H$2:$H$73)*(Grupos!$G$2:$G$73&lt;&gt;""))</f>
        <v/>
      </c>
      <c r="F42" s="6">
        <f>C42-D42-E42</f>
        <v/>
      </c>
      <c r="G42" s="6">
        <f>SUMPRODUCT((Grupos!$B$2:$B$73=$A42)*(Grupos!$C$2:$C$73=$B42)*Grupos!$G$2:$G$73)+SUMPRODUCT((Grupos!$B$2:$B$73=$A42)*(Grupos!$D$2:$D$73=$B42)*Grupos!$H$2:$H$73)</f>
        <v/>
      </c>
      <c r="H42" s="6">
        <f>SUMPRODUCT((Grupos!$B$2:$B$73=$A42)*(Grupos!$C$2:$C$73=$B42)*Grupos!$H$2:$H$73)+SUMPRODUCT((Grupos!$B$2:$B$73=$A42)*(Grupos!$D$2:$D$73=$B42)*Grupos!$G$2:$G$73)</f>
        <v/>
      </c>
      <c r="I42" s="6">
        <f>G42-H42</f>
        <v/>
      </c>
      <c r="J42" s="6">
        <f>D42*3+E42</f>
        <v/>
      </c>
      <c r="K42" s="6">
        <f>J42*1000000+I42*1000+G42*10-0</f>
        <v/>
      </c>
      <c r="L42" s="6">
        <f>1+COUNTIF($K$42:$K$45,"&gt;"&amp;K42)</f>
        <v/>
      </c>
      <c r="M42" s="6">
        <f>SUMPRODUCT((Grupos!$B$2:$B$73=$A42)*((Grupos!$C$2:$C$73=$B42)+(Grupos!$D$2:$D$73=$B42))*(Grupos!$E$2:$E$73&lt;&gt;""))</f>
        <v/>
      </c>
      <c r="N42" s="6">
        <f>SUMPRODUCT((Grupos!$B$2:$B$73=$A42)*(Grupos!$C$2:$C$73=$B42)*(Grupos!$E$2:$E$73&gt;Grupos!$F$2:$F$73))+SUMPRODUCT((Grupos!$B$2:$B$73=$A42)*(Grupos!$D$2:$D$73=$B42)*(Grupos!$F$2:$F$73&gt;Grupos!$E$2:$E$73))</f>
        <v/>
      </c>
      <c r="O42" s="6">
        <f>SUMPRODUCT((Grupos!$B$2:$B$73=$A42)*((Grupos!$C$2:$C$73=$B42)+(Grupos!$D$2:$D$73=$B42))*(Grupos!$E$2:$E$73=Grupos!$F$2:$F$73)*(Grupos!$E$2:$E$73&lt;&gt;""))</f>
        <v/>
      </c>
      <c r="P42" s="6">
        <f>M42-N42-O42</f>
        <v/>
      </c>
      <c r="Q42" s="6">
        <f>SUMPRODUCT((Grupos!$B$2:$B$73=$A42)*(Grupos!$C$2:$C$73=$B42)*Grupos!$E$2:$E$73)+SUMPRODUCT((Grupos!$B$2:$B$73=$A42)*(Grupos!$D$2:$D$73=$B42)*Grupos!$F$2:$F$73)</f>
        <v/>
      </c>
      <c r="R42" s="6">
        <f>SUMPRODUCT((Grupos!$B$2:$B$73=$A42)*(Grupos!$C$2:$C$73=$B42)*Grupos!$F$2:$F$73)+SUMPRODUCT((Grupos!$B$2:$B$73=$A42)*(Grupos!$D$2:$D$73=$B42)*Grupos!$E$2:$E$73)</f>
        <v/>
      </c>
      <c r="S42" s="6">
        <f>Q42-R42</f>
        <v/>
      </c>
      <c r="T42" s="6">
        <f>N42*3+O42</f>
        <v/>
      </c>
      <c r="U42" s="6">
        <f>T42*1000000+S42*1000+Q42*10-0</f>
        <v/>
      </c>
      <c r="V42" s="6">
        <f>1+COUNTIF($U$42:$U$45,"&gt;"&amp;U42)</f>
        <v/>
      </c>
      <c r="W42" s="6" t="n">
        <v>1</v>
      </c>
      <c r="X42" s="6">
        <f>INDEX($B$42:$B$45,MATCH(W42,$L$42:$L$45,0))</f>
        <v/>
      </c>
      <c r="Y42" s="6">
        <f>INDEX($B$42:$B$45,MATCH(W42,$V$42:$V$45,0))</f>
        <v/>
      </c>
      <c r="Z42" s="6">
        <f>IF(AND(X42&lt;&gt;"",X42=Y42),1,0)</f>
        <v/>
      </c>
      <c r="AA42" s="6">
        <f>INDEX($J$42:$J$45,MATCH(W42,$L$42:$L$45,0))</f>
        <v/>
      </c>
      <c r="AB42" s="6">
        <f>INDEX($I$42:$I$45,MATCH(W42,$L$42:$L$45,0))</f>
        <v/>
      </c>
      <c r="AC42" s="6">
        <f>INDEX($G$42:$G$45,MATCH(W42,$L$42:$L$45,0))</f>
        <v/>
      </c>
      <c r="AD42" s="6">
        <f>INDEX($T$42:$T$45,MATCH(W42,$V$42:$V$45,0))</f>
        <v/>
      </c>
      <c r="AE42" s="6">
        <f>INDEX($S$42:$S$45,MATCH(W42,$V$42:$V$45,0))</f>
        <v/>
      </c>
      <c r="AF42" s="6">
        <f>INDEX($Q$42:$Q$45,MATCH(W42,$V$42:$V$45,0))</f>
        <v/>
      </c>
    </row>
    <row r="43">
      <c r="A43" s="6" t="inlineStr">
        <is>
          <t>K</t>
        </is>
      </c>
      <c r="B43" s="6" t="inlineStr">
        <is>
          <t>R.D. del Congo</t>
        </is>
      </c>
      <c r="C43" s="6">
        <f>SUMPRODUCT((Grupos!$B$2:$B$73=$A43)*((Grupos!$C$2:$C$73=$B43)+(Grupos!$D$2:$D$73=$B43))*(Grupos!$G$2:$G$73&lt;&gt;""))</f>
        <v/>
      </c>
      <c r="D43" s="6">
        <f>SUMPRODUCT((Grupos!$B$2:$B$73=$A43)*(Grupos!$C$2:$C$73=$B43)*(Grupos!$G$2:$G$73&gt;Grupos!$H$2:$H$73))+SUMPRODUCT((Grupos!$B$2:$B$73=$A43)*(Grupos!$D$2:$D$73=$B43)*(Grupos!$H$2:$H$73&gt;Grupos!$G$2:$G$73))</f>
        <v/>
      </c>
      <c r="E43" s="6">
        <f>SUMPRODUCT((Grupos!$B$2:$B$73=$A43)*((Grupos!$C$2:$C$73=$B43)+(Grupos!$D$2:$D$73=$B43))*(Grupos!$G$2:$G$73=Grupos!$H$2:$H$73)*(Grupos!$G$2:$G$73&lt;&gt;""))</f>
        <v/>
      </c>
      <c r="F43" s="6">
        <f>C43-D43-E43</f>
        <v/>
      </c>
      <c r="G43" s="6">
        <f>SUMPRODUCT((Grupos!$B$2:$B$73=$A43)*(Grupos!$C$2:$C$73=$B43)*Grupos!$G$2:$G$73)+SUMPRODUCT((Grupos!$B$2:$B$73=$A43)*(Grupos!$D$2:$D$73=$B43)*Grupos!$H$2:$H$73)</f>
        <v/>
      </c>
      <c r="H43" s="6">
        <f>SUMPRODUCT((Grupos!$B$2:$B$73=$A43)*(Grupos!$C$2:$C$73=$B43)*Grupos!$H$2:$H$73)+SUMPRODUCT((Grupos!$B$2:$B$73=$A43)*(Grupos!$D$2:$D$73=$B43)*Grupos!$G$2:$G$73)</f>
        <v/>
      </c>
      <c r="I43" s="6">
        <f>G43-H43</f>
        <v/>
      </c>
      <c r="J43" s="6">
        <f>D43*3+E43</f>
        <v/>
      </c>
      <c r="K43" s="6">
        <f>J43*1000000+I43*1000+G43*10-1</f>
        <v/>
      </c>
      <c r="L43" s="6">
        <f>1+COUNTIF($K$42:$K$45,"&gt;"&amp;K43)</f>
        <v/>
      </c>
      <c r="M43" s="6">
        <f>SUMPRODUCT((Grupos!$B$2:$B$73=$A43)*((Grupos!$C$2:$C$73=$B43)+(Grupos!$D$2:$D$73=$B43))*(Grupos!$E$2:$E$73&lt;&gt;""))</f>
        <v/>
      </c>
      <c r="N43" s="6">
        <f>SUMPRODUCT((Grupos!$B$2:$B$73=$A43)*(Grupos!$C$2:$C$73=$B43)*(Grupos!$E$2:$E$73&gt;Grupos!$F$2:$F$73))+SUMPRODUCT((Grupos!$B$2:$B$73=$A43)*(Grupos!$D$2:$D$73=$B43)*(Grupos!$F$2:$F$73&gt;Grupos!$E$2:$E$73))</f>
        <v/>
      </c>
      <c r="O43" s="6">
        <f>SUMPRODUCT((Grupos!$B$2:$B$73=$A43)*((Grupos!$C$2:$C$73=$B43)+(Grupos!$D$2:$D$73=$B43))*(Grupos!$E$2:$E$73=Grupos!$F$2:$F$73)*(Grupos!$E$2:$E$73&lt;&gt;""))</f>
        <v/>
      </c>
      <c r="P43" s="6">
        <f>M43-N43-O43</f>
        <v/>
      </c>
      <c r="Q43" s="6">
        <f>SUMPRODUCT((Grupos!$B$2:$B$73=$A43)*(Grupos!$C$2:$C$73=$B43)*Grupos!$E$2:$E$73)+SUMPRODUCT((Grupos!$B$2:$B$73=$A43)*(Grupos!$D$2:$D$73=$B43)*Grupos!$F$2:$F$73)</f>
        <v/>
      </c>
      <c r="R43" s="6">
        <f>SUMPRODUCT((Grupos!$B$2:$B$73=$A43)*(Grupos!$C$2:$C$73=$B43)*Grupos!$F$2:$F$73)+SUMPRODUCT((Grupos!$B$2:$B$73=$A43)*(Grupos!$D$2:$D$73=$B43)*Grupos!$E$2:$E$73)</f>
        <v/>
      </c>
      <c r="S43" s="6">
        <f>Q43-R43</f>
        <v/>
      </c>
      <c r="T43" s="6">
        <f>N43*3+O43</f>
        <v/>
      </c>
      <c r="U43" s="6">
        <f>T43*1000000+S43*1000+Q43*10-1</f>
        <v/>
      </c>
      <c r="V43" s="6">
        <f>1+COUNTIF($U$42:$U$45,"&gt;"&amp;U43)</f>
        <v/>
      </c>
      <c r="W43" s="6" t="n">
        <v>2</v>
      </c>
      <c r="X43" s="6">
        <f>INDEX($B$42:$B$45,MATCH(W43,$L$42:$L$45,0))</f>
        <v/>
      </c>
      <c r="Y43" s="6">
        <f>INDEX($B$42:$B$45,MATCH(W43,$V$42:$V$45,0))</f>
        <v/>
      </c>
      <c r="Z43" s="6">
        <f>IF(AND(X43&lt;&gt;"",X43=Y43),1,0)</f>
        <v/>
      </c>
      <c r="AA43" s="6">
        <f>INDEX($J$42:$J$45,MATCH(W43,$L$42:$L$45,0))</f>
        <v/>
      </c>
      <c r="AB43" s="6">
        <f>INDEX($I$42:$I$45,MATCH(W43,$L$42:$L$45,0))</f>
        <v/>
      </c>
      <c r="AC43" s="6">
        <f>INDEX($G$42:$G$45,MATCH(W43,$L$42:$L$45,0))</f>
        <v/>
      </c>
      <c r="AD43" s="6">
        <f>INDEX($T$42:$T$45,MATCH(W43,$V$42:$V$45,0))</f>
        <v/>
      </c>
      <c r="AE43" s="6">
        <f>INDEX($S$42:$S$45,MATCH(W43,$V$42:$V$45,0))</f>
        <v/>
      </c>
      <c r="AF43" s="6">
        <f>INDEX($Q$42:$Q$45,MATCH(W43,$V$42:$V$45,0))</f>
        <v/>
      </c>
    </row>
    <row r="44">
      <c r="A44" s="6" t="inlineStr">
        <is>
          <t>K</t>
        </is>
      </c>
      <c r="B44" s="6" t="inlineStr">
        <is>
          <t>Uzbekistán</t>
        </is>
      </c>
      <c r="C44" s="6">
        <f>SUMPRODUCT((Grupos!$B$2:$B$73=$A44)*((Grupos!$C$2:$C$73=$B44)+(Grupos!$D$2:$D$73=$B44))*(Grupos!$G$2:$G$73&lt;&gt;""))</f>
        <v/>
      </c>
      <c r="D44" s="6">
        <f>SUMPRODUCT((Grupos!$B$2:$B$73=$A44)*(Grupos!$C$2:$C$73=$B44)*(Grupos!$G$2:$G$73&gt;Grupos!$H$2:$H$73))+SUMPRODUCT((Grupos!$B$2:$B$73=$A44)*(Grupos!$D$2:$D$73=$B44)*(Grupos!$H$2:$H$73&gt;Grupos!$G$2:$G$73))</f>
        <v/>
      </c>
      <c r="E44" s="6">
        <f>SUMPRODUCT((Grupos!$B$2:$B$73=$A44)*((Grupos!$C$2:$C$73=$B44)+(Grupos!$D$2:$D$73=$B44))*(Grupos!$G$2:$G$73=Grupos!$H$2:$H$73)*(Grupos!$G$2:$G$73&lt;&gt;""))</f>
        <v/>
      </c>
      <c r="F44" s="6">
        <f>C44-D44-E44</f>
        <v/>
      </c>
      <c r="G44" s="6">
        <f>SUMPRODUCT((Grupos!$B$2:$B$73=$A44)*(Grupos!$C$2:$C$73=$B44)*Grupos!$G$2:$G$73)+SUMPRODUCT((Grupos!$B$2:$B$73=$A44)*(Grupos!$D$2:$D$73=$B44)*Grupos!$H$2:$H$73)</f>
        <v/>
      </c>
      <c r="H44" s="6">
        <f>SUMPRODUCT((Grupos!$B$2:$B$73=$A44)*(Grupos!$C$2:$C$73=$B44)*Grupos!$H$2:$H$73)+SUMPRODUCT((Grupos!$B$2:$B$73=$A44)*(Grupos!$D$2:$D$73=$B44)*Grupos!$G$2:$G$73)</f>
        <v/>
      </c>
      <c r="I44" s="6">
        <f>G44-H44</f>
        <v/>
      </c>
      <c r="J44" s="6">
        <f>D44*3+E44</f>
        <v/>
      </c>
      <c r="K44" s="6">
        <f>J44*1000000+I44*1000+G44*10-2</f>
        <v/>
      </c>
      <c r="L44" s="6">
        <f>1+COUNTIF($K$42:$K$45,"&gt;"&amp;K44)</f>
        <v/>
      </c>
      <c r="M44" s="6">
        <f>SUMPRODUCT((Grupos!$B$2:$B$73=$A44)*((Grupos!$C$2:$C$73=$B44)+(Grupos!$D$2:$D$73=$B44))*(Grupos!$E$2:$E$73&lt;&gt;""))</f>
        <v/>
      </c>
      <c r="N44" s="6">
        <f>SUMPRODUCT((Grupos!$B$2:$B$73=$A44)*(Grupos!$C$2:$C$73=$B44)*(Grupos!$E$2:$E$73&gt;Grupos!$F$2:$F$73))+SUMPRODUCT((Grupos!$B$2:$B$73=$A44)*(Grupos!$D$2:$D$73=$B44)*(Grupos!$F$2:$F$73&gt;Grupos!$E$2:$E$73))</f>
        <v/>
      </c>
      <c r="O44" s="6">
        <f>SUMPRODUCT((Grupos!$B$2:$B$73=$A44)*((Grupos!$C$2:$C$73=$B44)+(Grupos!$D$2:$D$73=$B44))*(Grupos!$E$2:$E$73=Grupos!$F$2:$F$73)*(Grupos!$E$2:$E$73&lt;&gt;""))</f>
        <v/>
      </c>
      <c r="P44" s="6">
        <f>M44-N44-O44</f>
        <v/>
      </c>
      <c r="Q44" s="6">
        <f>SUMPRODUCT((Grupos!$B$2:$B$73=$A44)*(Grupos!$C$2:$C$73=$B44)*Grupos!$E$2:$E$73)+SUMPRODUCT((Grupos!$B$2:$B$73=$A44)*(Grupos!$D$2:$D$73=$B44)*Grupos!$F$2:$F$73)</f>
        <v/>
      </c>
      <c r="R44" s="6">
        <f>SUMPRODUCT((Grupos!$B$2:$B$73=$A44)*(Grupos!$C$2:$C$73=$B44)*Grupos!$F$2:$F$73)+SUMPRODUCT((Grupos!$B$2:$B$73=$A44)*(Grupos!$D$2:$D$73=$B44)*Grupos!$E$2:$E$73)</f>
        <v/>
      </c>
      <c r="S44" s="6">
        <f>Q44-R44</f>
        <v/>
      </c>
      <c r="T44" s="6">
        <f>N44*3+O44</f>
        <v/>
      </c>
      <c r="U44" s="6">
        <f>T44*1000000+S44*1000+Q44*10-2</f>
        <v/>
      </c>
      <c r="V44" s="6">
        <f>1+COUNTIF($U$42:$U$45,"&gt;"&amp;U44)</f>
        <v/>
      </c>
      <c r="W44" s="6" t="n">
        <v>3</v>
      </c>
      <c r="X44" s="6">
        <f>INDEX($B$42:$B$45,MATCH(W44,$L$42:$L$45,0))</f>
        <v/>
      </c>
      <c r="Y44" s="6">
        <f>INDEX($B$42:$B$45,MATCH(W44,$V$42:$V$45,0))</f>
        <v/>
      </c>
      <c r="Z44" s="6">
        <f>IF(AND(X44&lt;&gt;"",X44=Y44),1,0)</f>
        <v/>
      </c>
      <c r="AA44" s="6">
        <f>INDEX($J$42:$J$45,MATCH(W44,$L$42:$L$45,0))</f>
        <v/>
      </c>
      <c r="AB44" s="6">
        <f>INDEX($I$42:$I$45,MATCH(W44,$L$42:$L$45,0))</f>
        <v/>
      </c>
      <c r="AC44" s="6">
        <f>INDEX($G$42:$G$45,MATCH(W44,$L$42:$L$45,0))</f>
        <v/>
      </c>
      <c r="AD44" s="6">
        <f>INDEX($T$42:$T$45,MATCH(W44,$V$42:$V$45,0))</f>
        <v/>
      </c>
      <c r="AE44" s="6">
        <f>INDEX($S$42:$S$45,MATCH(W44,$V$42:$V$45,0))</f>
        <v/>
      </c>
      <c r="AF44" s="6">
        <f>INDEX($Q$42:$Q$45,MATCH(W44,$V$42:$V$45,0))</f>
        <v/>
      </c>
    </row>
    <row r="45">
      <c r="A45" s="6" t="inlineStr">
        <is>
          <t>K</t>
        </is>
      </c>
      <c r="B45" s="6" t="inlineStr">
        <is>
          <t>Colombia</t>
        </is>
      </c>
      <c r="C45" s="6">
        <f>SUMPRODUCT((Grupos!$B$2:$B$73=$A45)*((Grupos!$C$2:$C$73=$B45)+(Grupos!$D$2:$D$73=$B45))*(Grupos!$G$2:$G$73&lt;&gt;""))</f>
        <v/>
      </c>
      <c r="D45" s="6">
        <f>SUMPRODUCT((Grupos!$B$2:$B$73=$A45)*(Grupos!$C$2:$C$73=$B45)*(Grupos!$G$2:$G$73&gt;Grupos!$H$2:$H$73))+SUMPRODUCT((Grupos!$B$2:$B$73=$A45)*(Grupos!$D$2:$D$73=$B45)*(Grupos!$H$2:$H$73&gt;Grupos!$G$2:$G$73))</f>
        <v/>
      </c>
      <c r="E45" s="6">
        <f>SUMPRODUCT((Grupos!$B$2:$B$73=$A45)*((Grupos!$C$2:$C$73=$B45)+(Grupos!$D$2:$D$73=$B45))*(Grupos!$G$2:$G$73=Grupos!$H$2:$H$73)*(Grupos!$G$2:$G$73&lt;&gt;""))</f>
        <v/>
      </c>
      <c r="F45" s="6">
        <f>C45-D45-E45</f>
        <v/>
      </c>
      <c r="G45" s="6">
        <f>SUMPRODUCT((Grupos!$B$2:$B$73=$A45)*(Grupos!$C$2:$C$73=$B45)*Grupos!$G$2:$G$73)+SUMPRODUCT((Grupos!$B$2:$B$73=$A45)*(Grupos!$D$2:$D$73=$B45)*Grupos!$H$2:$H$73)</f>
        <v/>
      </c>
      <c r="H45" s="6">
        <f>SUMPRODUCT((Grupos!$B$2:$B$73=$A45)*(Grupos!$C$2:$C$73=$B45)*Grupos!$H$2:$H$73)+SUMPRODUCT((Grupos!$B$2:$B$73=$A45)*(Grupos!$D$2:$D$73=$B45)*Grupos!$G$2:$G$73)</f>
        <v/>
      </c>
      <c r="I45" s="6">
        <f>G45-H45</f>
        <v/>
      </c>
      <c r="J45" s="6">
        <f>D45*3+E45</f>
        <v/>
      </c>
      <c r="K45" s="6">
        <f>J45*1000000+I45*1000+G45*10-3</f>
        <v/>
      </c>
      <c r="L45" s="6">
        <f>1+COUNTIF($K$42:$K$45,"&gt;"&amp;K45)</f>
        <v/>
      </c>
      <c r="M45" s="6">
        <f>SUMPRODUCT((Grupos!$B$2:$B$73=$A45)*((Grupos!$C$2:$C$73=$B45)+(Grupos!$D$2:$D$73=$B45))*(Grupos!$E$2:$E$73&lt;&gt;""))</f>
        <v/>
      </c>
      <c r="N45" s="6">
        <f>SUMPRODUCT((Grupos!$B$2:$B$73=$A45)*(Grupos!$C$2:$C$73=$B45)*(Grupos!$E$2:$E$73&gt;Grupos!$F$2:$F$73))+SUMPRODUCT((Grupos!$B$2:$B$73=$A45)*(Grupos!$D$2:$D$73=$B45)*(Grupos!$F$2:$F$73&gt;Grupos!$E$2:$E$73))</f>
        <v/>
      </c>
      <c r="O45" s="6">
        <f>SUMPRODUCT((Grupos!$B$2:$B$73=$A45)*((Grupos!$C$2:$C$73=$B45)+(Grupos!$D$2:$D$73=$B45))*(Grupos!$E$2:$E$73=Grupos!$F$2:$F$73)*(Grupos!$E$2:$E$73&lt;&gt;""))</f>
        <v/>
      </c>
      <c r="P45" s="6">
        <f>M45-N45-O45</f>
        <v/>
      </c>
      <c r="Q45" s="6">
        <f>SUMPRODUCT((Grupos!$B$2:$B$73=$A45)*(Grupos!$C$2:$C$73=$B45)*Grupos!$E$2:$E$73)+SUMPRODUCT((Grupos!$B$2:$B$73=$A45)*(Grupos!$D$2:$D$73=$B45)*Grupos!$F$2:$F$73)</f>
        <v/>
      </c>
      <c r="R45" s="6">
        <f>SUMPRODUCT((Grupos!$B$2:$B$73=$A45)*(Grupos!$C$2:$C$73=$B45)*Grupos!$F$2:$F$73)+SUMPRODUCT((Grupos!$B$2:$B$73=$A45)*(Grupos!$D$2:$D$73=$B45)*Grupos!$E$2:$E$73)</f>
        <v/>
      </c>
      <c r="S45" s="6">
        <f>Q45-R45</f>
        <v/>
      </c>
      <c r="T45" s="6">
        <f>N45*3+O45</f>
        <v/>
      </c>
      <c r="U45" s="6">
        <f>T45*1000000+S45*1000+Q45*10-3</f>
        <v/>
      </c>
      <c r="V45" s="6">
        <f>1+COUNTIF($U$42:$U$45,"&gt;"&amp;U45)</f>
        <v/>
      </c>
      <c r="W45" s="6" t="n">
        <v>4</v>
      </c>
      <c r="X45" s="6">
        <f>INDEX($B$42:$B$45,MATCH(W45,$L$42:$L$45,0))</f>
        <v/>
      </c>
      <c r="Y45" s="6">
        <f>INDEX($B$42:$B$45,MATCH(W45,$V$42:$V$45,0))</f>
        <v/>
      </c>
      <c r="Z45" s="6">
        <f>IF(AND(X45&lt;&gt;"",X45=Y45),1,0)</f>
        <v/>
      </c>
      <c r="AA45" s="6">
        <f>INDEX($J$42:$J$45,MATCH(W45,$L$42:$L$45,0))</f>
        <v/>
      </c>
      <c r="AB45" s="6">
        <f>INDEX($I$42:$I$45,MATCH(W45,$L$42:$L$45,0))</f>
        <v/>
      </c>
      <c r="AC45" s="6">
        <f>INDEX($G$42:$G$45,MATCH(W45,$L$42:$L$45,0))</f>
        <v/>
      </c>
      <c r="AD45" s="6">
        <f>INDEX($T$42:$T$45,MATCH(W45,$V$42:$V$45,0))</f>
        <v/>
      </c>
      <c r="AE45" s="6">
        <f>INDEX($S$42:$S$45,MATCH(W45,$V$42:$V$45,0))</f>
        <v/>
      </c>
      <c r="AF45" s="6">
        <f>INDEX($Q$42:$Q$45,MATCH(W45,$V$42:$V$45,0))</f>
        <v/>
      </c>
    </row>
    <row r="46">
      <c r="A46" s="6" t="inlineStr">
        <is>
          <t>L</t>
        </is>
      </c>
      <c r="B46" s="6" t="inlineStr">
        <is>
          <t>Inglaterra</t>
        </is>
      </c>
      <c r="C46" s="6">
        <f>SUMPRODUCT((Grupos!$B$2:$B$73=$A46)*((Grupos!$C$2:$C$73=$B46)+(Grupos!$D$2:$D$73=$B46))*(Grupos!$G$2:$G$73&lt;&gt;""))</f>
        <v/>
      </c>
      <c r="D46" s="6">
        <f>SUMPRODUCT((Grupos!$B$2:$B$73=$A46)*(Grupos!$C$2:$C$73=$B46)*(Grupos!$G$2:$G$73&gt;Grupos!$H$2:$H$73))+SUMPRODUCT((Grupos!$B$2:$B$73=$A46)*(Grupos!$D$2:$D$73=$B46)*(Grupos!$H$2:$H$73&gt;Grupos!$G$2:$G$73))</f>
        <v/>
      </c>
      <c r="E46" s="6">
        <f>SUMPRODUCT((Grupos!$B$2:$B$73=$A46)*((Grupos!$C$2:$C$73=$B46)+(Grupos!$D$2:$D$73=$B46))*(Grupos!$G$2:$G$73=Grupos!$H$2:$H$73)*(Grupos!$G$2:$G$73&lt;&gt;""))</f>
        <v/>
      </c>
      <c r="F46" s="6">
        <f>C46-D46-E46</f>
        <v/>
      </c>
      <c r="G46" s="6">
        <f>SUMPRODUCT((Grupos!$B$2:$B$73=$A46)*(Grupos!$C$2:$C$73=$B46)*Grupos!$G$2:$G$73)+SUMPRODUCT((Grupos!$B$2:$B$73=$A46)*(Grupos!$D$2:$D$73=$B46)*Grupos!$H$2:$H$73)</f>
        <v/>
      </c>
      <c r="H46" s="6">
        <f>SUMPRODUCT((Grupos!$B$2:$B$73=$A46)*(Grupos!$C$2:$C$73=$B46)*Grupos!$H$2:$H$73)+SUMPRODUCT((Grupos!$B$2:$B$73=$A46)*(Grupos!$D$2:$D$73=$B46)*Grupos!$G$2:$G$73)</f>
        <v/>
      </c>
      <c r="I46" s="6">
        <f>G46-H46</f>
        <v/>
      </c>
      <c r="J46" s="6">
        <f>D46*3+E46</f>
        <v/>
      </c>
      <c r="K46" s="6">
        <f>J46*1000000+I46*1000+G46*10-0</f>
        <v/>
      </c>
      <c r="L46" s="6">
        <f>1+COUNTIF($K$46:$K$49,"&gt;"&amp;K46)</f>
        <v/>
      </c>
      <c r="M46" s="6">
        <f>SUMPRODUCT((Grupos!$B$2:$B$73=$A46)*((Grupos!$C$2:$C$73=$B46)+(Grupos!$D$2:$D$73=$B46))*(Grupos!$E$2:$E$73&lt;&gt;""))</f>
        <v/>
      </c>
      <c r="N46" s="6">
        <f>SUMPRODUCT((Grupos!$B$2:$B$73=$A46)*(Grupos!$C$2:$C$73=$B46)*(Grupos!$E$2:$E$73&gt;Grupos!$F$2:$F$73))+SUMPRODUCT((Grupos!$B$2:$B$73=$A46)*(Grupos!$D$2:$D$73=$B46)*(Grupos!$F$2:$F$73&gt;Grupos!$E$2:$E$73))</f>
        <v/>
      </c>
      <c r="O46" s="6">
        <f>SUMPRODUCT((Grupos!$B$2:$B$73=$A46)*((Grupos!$C$2:$C$73=$B46)+(Grupos!$D$2:$D$73=$B46))*(Grupos!$E$2:$E$73=Grupos!$F$2:$F$73)*(Grupos!$E$2:$E$73&lt;&gt;""))</f>
        <v/>
      </c>
      <c r="P46" s="6">
        <f>M46-N46-O46</f>
        <v/>
      </c>
      <c r="Q46" s="6">
        <f>SUMPRODUCT((Grupos!$B$2:$B$73=$A46)*(Grupos!$C$2:$C$73=$B46)*Grupos!$E$2:$E$73)+SUMPRODUCT((Grupos!$B$2:$B$73=$A46)*(Grupos!$D$2:$D$73=$B46)*Grupos!$F$2:$F$73)</f>
        <v/>
      </c>
      <c r="R46" s="6">
        <f>SUMPRODUCT((Grupos!$B$2:$B$73=$A46)*(Grupos!$C$2:$C$73=$B46)*Grupos!$F$2:$F$73)+SUMPRODUCT((Grupos!$B$2:$B$73=$A46)*(Grupos!$D$2:$D$73=$B46)*Grupos!$E$2:$E$73)</f>
        <v/>
      </c>
      <c r="S46" s="6">
        <f>Q46-R46</f>
        <v/>
      </c>
      <c r="T46" s="6">
        <f>N46*3+O46</f>
        <v/>
      </c>
      <c r="U46" s="6">
        <f>T46*1000000+S46*1000+Q46*10-0</f>
        <v/>
      </c>
      <c r="V46" s="6">
        <f>1+COUNTIF($U$46:$U$49,"&gt;"&amp;U46)</f>
        <v/>
      </c>
      <c r="W46" s="6" t="n">
        <v>1</v>
      </c>
      <c r="X46" s="6">
        <f>INDEX($B$46:$B$49,MATCH(W46,$L$46:$L$49,0))</f>
        <v/>
      </c>
      <c r="Y46" s="6">
        <f>INDEX($B$46:$B$49,MATCH(W46,$V$46:$V$49,0))</f>
        <v/>
      </c>
      <c r="Z46" s="6">
        <f>IF(AND(X46&lt;&gt;"",X46=Y46),1,0)</f>
        <v/>
      </c>
      <c r="AA46" s="6">
        <f>INDEX($J$46:$J$49,MATCH(W46,$L$46:$L$49,0))</f>
        <v/>
      </c>
      <c r="AB46" s="6">
        <f>INDEX($I$46:$I$49,MATCH(W46,$L$46:$L$49,0))</f>
        <v/>
      </c>
      <c r="AC46" s="6">
        <f>INDEX($G$46:$G$49,MATCH(W46,$L$46:$L$49,0))</f>
        <v/>
      </c>
      <c r="AD46" s="6">
        <f>INDEX($T$46:$T$49,MATCH(W46,$V$46:$V$49,0))</f>
        <v/>
      </c>
      <c r="AE46" s="6">
        <f>INDEX($S$46:$S$49,MATCH(W46,$V$46:$V$49,0))</f>
        <v/>
      </c>
      <c r="AF46" s="6">
        <f>INDEX($Q$46:$Q$49,MATCH(W46,$V$46:$V$49,0))</f>
        <v/>
      </c>
    </row>
    <row r="47">
      <c r="A47" s="6" t="inlineStr">
        <is>
          <t>L</t>
        </is>
      </c>
      <c r="B47" s="6" t="inlineStr">
        <is>
          <t>Croacia</t>
        </is>
      </c>
      <c r="C47" s="6">
        <f>SUMPRODUCT((Grupos!$B$2:$B$73=$A47)*((Grupos!$C$2:$C$73=$B47)+(Grupos!$D$2:$D$73=$B47))*(Grupos!$G$2:$G$73&lt;&gt;""))</f>
        <v/>
      </c>
      <c r="D47" s="6">
        <f>SUMPRODUCT((Grupos!$B$2:$B$73=$A47)*(Grupos!$C$2:$C$73=$B47)*(Grupos!$G$2:$G$73&gt;Grupos!$H$2:$H$73))+SUMPRODUCT((Grupos!$B$2:$B$73=$A47)*(Grupos!$D$2:$D$73=$B47)*(Grupos!$H$2:$H$73&gt;Grupos!$G$2:$G$73))</f>
        <v/>
      </c>
      <c r="E47" s="6">
        <f>SUMPRODUCT((Grupos!$B$2:$B$73=$A47)*((Grupos!$C$2:$C$73=$B47)+(Grupos!$D$2:$D$73=$B47))*(Grupos!$G$2:$G$73=Grupos!$H$2:$H$73)*(Grupos!$G$2:$G$73&lt;&gt;""))</f>
        <v/>
      </c>
      <c r="F47" s="6">
        <f>C47-D47-E47</f>
        <v/>
      </c>
      <c r="G47" s="6">
        <f>SUMPRODUCT((Grupos!$B$2:$B$73=$A47)*(Grupos!$C$2:$C$73=$B47)*Grupos!$G$2:$G$73)+SUMPRODUCT((Grupos!$B$2:$B$73=$A47)*(Grupos!$D$2:$D$73=$B47)*Grupos!$H$2:$H$73)</f>
        <v/>
      </c>
      <c r="H47" s="6">
        <f>SUMPRODUCT((Grupos!$B$2:$B$73=$A47)*(Grupos!$C$2:$C$73=$B47)*Grupos!$H$2:$H$73)+SUMPRODUCT((Grupos!$B$2:$B$73=$A47)*(Grupos!$D$2:$D$73=$B47)*Grupos!$G$2:$G$73)</f>
        <v/>
      </c>
      <c r="I47" s="6">
        <f>G47-H47</f>
        <v/>
      </c>
      <c r="J47" s="6">
        <f>D47*3+E47</f>
        <v/>
      </c>
      <c r="K47" s="6">
        <f>J47*1000000+I47*1000+G47*10-1</f>
        <v/>
      </c>
      <c r="L47" s="6">
        <f>1+COUNTIF($K$46:$K$49,"&gt;"&amp;K47)</f>
        <v/>
      </c>
      <c r="M47" s="6">
        <f>SUMPRODUCT((Grupos!$B$2:$B$73=$A47)*((Grupos!$C$2:$C$73=$B47)+(Grupos!$D$2:$D$73=$B47))*(Grupos!$E$2:$E$73&lt;&gt;""))</f>
        <v/>
      </c>
      <c r="N47" s="6">
        <f>SUMPRODUCT((Grupos!$B$2:$B$73=$A47)*(Grupos!$C$2:$C$73=$B47)*(Grupos!$E$2:$E$73&gt;Grupos!$F$2:$F$73))+SUMPRODUCT((Grupos!$B$2:$B$73=$A47)*(Grupos!$D$2:$D$73=$B47)*(Grupos!$F$2:$F$73&gt;Grupos!$E$2:$E$73))</f>
        <v/>
      </c>
      <c r="O47" s="6">
        <f>SUMPRODUCT((Grupos!$B$2:$B$73=$A47)*((Grupos!$C$2:$C$73=$B47)+(Grupos!$D$2:$D$73=$B47))*(Grupos!$E$2:$E$73=Grupos!$F$2:$F$73)*(Grupos!$E$2:$E$73&lt;&gt;""))</f>
        <v/>
      </c>
      <c r="P47" s="6">
        <f>M47-N47-O47</f>
        <v/>
      </c>
      <c r="Q47" s="6">
        <f>SUMPRODUCT((Grupos!$B$2:$B$73=$A47)*(Grupos!$C$2:$C$73=$B47)*Grupos!$E$2:$E$73)+SUMPRODUCT((Grupos!$B$2:$B$73=$A47)*(Grupos!$D$2:$D$73=$B47)*Grupos!$F$2:$F$73)</f>
        <v/>
      </c>
      <c r="R47" s="6">
        <f>SUMPRODUCT((Grupos!$B$2:$B$73=$A47)*(Grupos!$C$2:$C$73=$B47)*Grupos!$F$2:$F$73)+SUMPRODUCT((Grupos!$B$2:$B$73=$A47)*(Grupos!$D$2:$D$73=$B47)*Grupos!$E$2:$E$73)</f>
        <v/>
      </c>
      <c r="S47" s="6">
        <f>Q47-R47</f>
        <v/>
      </c>
      <c r="T47" s="6">
        <f>N47*3+O47</f>
        <v/>
      </c>
      <c r="U47" s="6">
        <f>T47*1000000+S47*1000+Q47*10-1</f>
        <v/>
      </c>
      <c r="V47" s="6">
        <f>1+COUNTIF($U$46:$U$49,"&gt;"&amp;U47)</f>
        <v/>
      </c>
      <c r="W47" s="6" t="n">
        <v>2</v>
      </c>
      <c r="X47" s="6">
        <f>INDEX($B$46:$B$49,MATCH(W47,$L$46:$L$49,0))</f>
        <v/>
      </c>
      <c r="Y47" s="6">
        <f>INDEX($B$46:$B$49,MATCH(W47,$V$46:$V$49,0))</f>
        <v/>
      </c>
      <c r="Z47" s="6">
        <f>IF(AND(X47&lt;&gt;"",X47=Y47),1,0)</f>
        <v/>
      </c>
      <c r="AA47" s="6">
        <f>INDEX($J$46:$J$49,MATCH(W47,$L$46:$L$49,0))</f>
        <v/>
      </c>
      <c r="AB47" s="6">
        <f>INDEX($I$46:$I$49,MATCH(W47,$L$46:$L$49,0))</f>
        <v/>
      </c>
      <c r="AC47" s="6">
        <f>INDEX($G$46:$G$49,MATCH(W47,$L$46:$L$49,0))</f>
        <v/>
      </c>
      <c r="AD47" s="6">
        <f>INDEX($T$46:$T$49,MATCH(W47,$V$46:$V$49,0))</f>
        <v/>
      </c>
      <c r="AE47" s="6">
        <f>INDEX($S$46:$S$49,MATCH(W47,$V$46:$V$49,0))</f>
        <v/>
      </c>
      <c r="AF47" s="6">
        <f>INDEX($Q$46:$Q$49,MATCH(W47,$V$46:$V$49,0))</f>
        <v/>
      </c>
    </row>
    <row r="48">
      <c r="A48" s="6" t="inlineStr">
        <is>
          <t>L</t>
        </is>
      </c>
      <c r="B48" s="6" t="inlineStr">
        <is>
          <t>Ghana</t>
        </is>
      </c>
      <c r="C48" s="6">
        <f>SUMPRODUCT((Grupos!$B$2:$B$73=$A48)*((Grupos!$C$2:$C$73=$B48)+(Grupos!$D$2:$D$73=$B48))*(Grupos!$G$2:$G$73&lt;&gt;""))</f>
        <v/>
      </c>
      <c r="D48" s="6">
        <f>SUMPRODUCT((Grupos!$B$2:$B$73=$A48)*(Grupos!$C$2:$C$73=$B48)*(Grupos!$G$2:$G$73&gt;Grupos!$H$2:$H$73))+SUMPRODUCT((Grupos!$B$2:$B$73=$A48)*(Grupos!$D$2:$D$73=$B48)*(Grupos!$H$2:$H$73&gt;Grupos!$G$2:$G$73))</f>
        <v/>
      </c>
      <c r="E48" s="6">
        <f>SUMPRODUCT((Grupos!$B$2:$B$73=$A48)*((Grupos!$C$2:$C$73=$B48)+(Grupos!$D$2:$D$73=$B48))*(Grupos!$G$2:$G$73=Grupos!$H$2:$H$73)*(Grupos!$G$2:$G$73&lt;&gt;""))</f>
        <v/>
      </c>
      <c r="F48" s="6">
        <f>C48-D48-E48</f>
        <v/>
      </c>
      <c r="G48" s="6">
        <f>SUMPRODUCT((Grupos!$B$2:$B$73=$A48)*(Grupos!$C$2:$C$73=$B48)*Grupos!$G$2:$G$73)+SUMPRODUCT((Grupos!$B$2:$B$73=$A48)*(Grupos!$D$2:$D$73=$B48)*Grupos!$H$2:$H$73)</f>
        <v/>
      </c>
      <c r="H48" s="6">
        <f>SUMPRODUCT((Grupos!$B$2:$B$73=$A48)*(Grupos!$C$2:$C$73=$B48)*Grupos!$H$2:$H$73)+SUMPRODUCT((Grupos!$B$2:$B$73=$A48)*(Grupos!$D$2:$D$73=$B48)*Grupos!$G$2:$G$73)</f>
        <v/>
      </c>
      <c r="I48" s="6">
        <f>G48-H48</f>
        <v/>
      </c>
      <c r="J48" s="6">
        <f>D48*3+E48</f>
        <v/>
      </c>
      <c r="K48" s="6">
        <f>J48*1000000+I48*1000+G48*10-2</f>
        <v/>
      </c>
      <c r="L48" s="6">
        <f>1+COUNTIF($K$46:$K$49,"&gt;"&amp;K48)</f>
        <v/>
      </c>
      <c r="M48" s="6">
        <f>SUMPRODUCT((Grupos!$B$2:$B$73=$A48)*((Grupos!$C$2:$C$73=$B48)+(Grupos!$D$2:$D$73=$B48))*(Grupos!$E$2:$E$73&lt;&gt;""))</f>
        <v/>
      </c>
      <c r="N48" s="6">
        <f>SUMPRODUCT((Grupos!$B$2:$B$73=$A48)*(Grupos!$C$2:$C$73=$B48)*(Grupos!$E$2:$E$73&gt;Grupos!$F$2:$F$73))+SUMPRODUCT((Grupos!$B$2:$B$73=$A48)*(Grupos!$D$2:$D$73=$B48)*(Grupos!$F$2:$F$73&gt;Grupos!$E$2:$E$73))</f>
        <v/>
      </c>
      <c r="O48" s="6">
        <f>SUMPRODUCT((Grupos!$B$2:$B$73=$A48)*((Grupos!$C$2:$C$73=$B48)+(Grupos!$D$2:$D$73=$B48))*(Grupos!$E$2:$E$73=Grupos!$F$2:$F$73)*(Grupos!$E$2:$E$73&lt;&gt;""))</f>
        <v/>
      </c>
      <c r="P48" s="6">
        <f>M48-N48-O48</f>
        <v/>
      </c>
      <c r="Q48" s="6">
        <f>SUMPRODUCT((Grupos!$B$2:$B$73=$A48)*(Grupos!$C$2:$C$73=$B48)*Grupos!$E$2:$E$73)+SUMPRODUCT((Grupos!$B$2:$B$73=$A48)*(Grupos!$D$2:$D$73=$B48)*Grupos!$F$2:$F$73)</f>
        <v/>
      </c>
      <c r="R48" s="6">
        <f>SUMPRODUCT((Grupos!$B$2:$B$73=$A48)*(Grupos!$C$2:$C$73=$B48)*Grupos!$F$2:$F$73)+SUMPRODUCT((Grupos!$B$2:$B$73=$A48)*(Grupos!$D$2:$D$73=$B48)*Grupos!$E$2:$E$73)</f>
        <v/>
      </c>
      <c r="S48" s="6">
        <f>Q48-R48</f>
        <v/>
      </c>
      <c r="T48" s="6">
        <f>N48*3+O48</f>
        <v/>
      </c>
      <c r="U48" s="6">
        <f>T48*1000000+S48*1000+Q48*10-2</f>
        <v/>
      </c>
      <c r="V48" s="6">
        <f>1+COUNTIF($U$46:$U$49,"&gt;"&amp;U48)</f>
        <v/>
      </c>
      <c r="W48" s="6" t="n">
        <v>3</v>
      </c>
      <c r="X48" s="6">
        <f>INDEX($B$46:$B$49,MATCH(W48,$L$46:$L$49,0))</f>
        <v/>
      </c>
      <c r="Y48" s="6">
        <f>INDEX($B$46:$B$49,MATCH(W48,$V$46:$V$49,0))</f>
        <v/>
      </c>
      <c r="Z48" s="6">
        <f>IF(AND(X48&lt;&gt;"",X48=Y48),1,0)</f>
        <v/>
      </c>
      <c r="AA48" s="6">
        <f>INDEX($J$46:$J$49,MATCH(W48,$L$46:$L$49,0))</f>
        <v/>
      </c>
      <c r="AB48" s="6">
        <f>INDEX($I$46:$I$49,MATCH(W48,$L$46:$L$49,0))</f>
        <v/>
      </c>
      <c r="AC48" s="6">
        <f>INDEX($G$46:$G$49,MATCH(W48,$L$46:$L$49,0))</f>
        <v/>
      </c>
      <c r="AD48" s="6">
        <f>INDEX($T$46:$T$49,MATCH(W48,$V$46:$V$49,0))</f>
        <v/>
      </c>
      <c r="AE48" s="6">
        <f>INDEX($S$46:$S$49,MATCH(W48,$V$46:$V$49,0))</f>
        <v/>
      </c>
      <c r="AF48" s="6">
        <f>INDEX($Q$46:$Q$49,MATCH(W48,$V$46:$V$49,0))</f>
        <v/>
      </c>
    </row>
    <row r="49">
      <c r="A49" s="6" t="inlineStr">
        <is>
          <t>L</t>
        </is>
      </c>
      <c r="B49" s="6" t="inlineStr">
        <is>
          <t>Panamá</t>
        </is>
      </c>
      <c r="C49" s="6">
        <f>SUMPRODUCT((Grupos!$B$2:$B$73=$A49)*((Grupos!$C$2:$C$73=$B49)+(Grupos!$D$2:$D$73=$B49))*(Grupos!$G$2:$G$73&lt;&gt;""))</f>
        <v/>
      </c>
      <c r="D49" s="6">
        <f>SUMPRODUCT((Grupos!$B$2:$B$73=$A49)*(Grupos!$C$2:$C$73=$B49)*(Grupos!$G$2:$G$73&gt;Grupos!$H$2:$H$73))+SUMPRODUCT((Grupos!$B$2:$B$73=$A49)*(Grupos!$D$2:$D$73=$B49)*(Grupos!$H$2:$H$73&gt;Grupos!$G$2:$G$73))</f>
        <v/>
      </c>
      <c r="E49" s="6">
        <f>SUMPRODUCT((Grupos!$B$2:$B$73=$A49)*((Grupos!$C$2:$C$73=$B49)+(Grupos!$D$2:$D$73=$B49))*(Grupos!$G$2:$G$73=Grupos!$H$2:$H$73)*(Grupos!$G$2:$G$73&lt;&gt;""))</f>
        <v/>
      </c>
      <c r="F49" s="6">
        <f>C49-D49-E49</f>
        <v/>
      </c>
      <c r="G49" s="6">
        <f>SUMPRODUCT((Grupos!$B$2:$B$73=$A49)*(Grupos!$C$2:$C$73=$B49)*Grupos!$G$2:$G$73)+SUMPRODUCT((Grupos!$B$2:$B$73=$A49)*(Grupos!$D$2:$D$73=$B49)*Grupos!$H$2:$H$73)</f>
        <v/>
      </c>
      <c r="H49" s="6">
        <f>SUMPRODUCT((Grupos!$B$2:$B$73=$A49)*(Grupos!$C$2:$C$73=$B49)*Grupos!$H$2:$H$73)+SUMPRODUCT((Grupos!$B$2:$B$73=$A49)*(Grupos!$D$2:$D$73=$B49)*Grupos!$G$2:$G$73)</f>
        <v/>
      </c>
      <c r="I49" s="6">
        <f>G49-H49</f>
        <v/>
      </c>
      <c r="J49" s="6">
        <f>D49*3+E49</f>
        <v/>
      </c>
      <c r="K49" s="6">
        <f>J49*1000000+I49*1000+G49*10-3</f>
        <v/>
      </c>
      <c r="L49" s="6">
        <f>1+COUNTIF($K$46:$K$49,"&gt;"&amp;K49)</f>
        <v/>
      </c>
      <c r="M49" s="6">
        <f>SUMPRODUCT((Grupos!$B$2:$B$73=$A49)*((Grupos!$C$2:$C$73=$B49)+(Grupos!$D$2:$D$73=$B49))*(Grupos!$E$2:$E$73&lt;&gt;""))</f>
        <v/>
      </c>
      <c r="N49" s="6">
        <f>SUMPRODUCT((Grupos!$B$2:$B$73=$A49)*(Grupos!$C$2:$C$73=$B49)*(Grupos!$E$2:$E$73&gt;Grupos!$F$2:$F$73))+SUMPRODUCT((Grupos!$B$2:$B$73=$A49)*(Grupos!$D$2:$D$73=$B49)*(Grupos!$F$2:$F$73&gt;Grupos!$E$2:$E$73))</f>
        <v/>
      </c>
      <c r="O49" s="6">
        <f>SUMPRODUCT((Grupos!$B$2:$B$73=$A49)*((Grupos!$C$2:$C$73=$B49)+(Grupos!$D$2:$D$73=$B49))*(Grupos!$E$2:$E$73=Grupos!$F$2:$F$73)*(Grupos!$E$2:$E$73&lt;&gt;""))</f>
        <v/>
      </c>
      <c r="P49" s="6">
        <f>M49-N49-O49</f>
        <v/>
      </c>
      <c r="Q49" s="6">
        <f>SUMPRODUCT((Grupos!$B$2:$B$73=$A49)*(Grupos!$C$2:$C$73=$B49)*Grupos!$E$2:$E$73)+SUMPRODUCT((Grupos!$B$2:$B$73=$A49)*(Grupos!$D$2:$D$73=$B49)*Grupos!$F$2:$F$73)</f>
        <v/>
      </c>
      <c r="R49" s="6">
        <f>SUMPRODUCT((Grupos!$B$2:$B$73=$A49)*(Grupos!$C$2:$C$73=$B49)*Grupos!$F$2:$F$73)+SUMPRODUCT((Grupos!$B$2:$B$73=$A49)*(Grupos!$D$2:$D$73=$B49)*Grupos!$E$2:$E$73)</f>
        <v/>
      </c>
      <c r="S49" s="6">
        <f>Q49-R49</f>
        <v/>
      </c>
      <c r="T49" s="6">
        <f>N49*3+O49</f>
        <v/>
      </c>
      <c r="U49" s="6">
        <f>T49*1000000+S49*1000+Q49*10-3</f>
        <v/>
      </c>
      <c r="V49" s="6">
        <f>1+COUNTIF($U$46:$U$49,"&gt;"&amp;U49)</f>
        <v/>
      </c>
      <c r="W49" s="6" t="n">
        <v>4</v>
      </c>
      <c r="X49" s="6">
        <f>INDEX($B$46:$B$49,MATCH(W49,$L$46:$L$49,0))</f>
        <v/>
      </c>
      <c r="Y49" s="6">
        <f>INDEX($B$46:$B$49,MATCH(W49,$V$46:$V$49,0))</f>
        <v/>
      </c>
      <c r="Z49" s="6">
        <f>IF(AND(X49&lt;&gt;"",X49=Y49),1,0)</f>
        <v/>
      </c>
      <c r="AA49" s="6">
        <f>INDEX($J$46:$J$49,MATCH(W49,$L$46:$L$49,0))</f>
        <v/>
      </c>
      <c r="AB49" s="6">
        <f>INDEX($I$46:$I$49,MATCH(W49,$L$46:$L$49,0))</f>
        <v/>
      </c>
      <c r="AC49" s="6">
        <f>INDEX($G$46:$G$49,MATCH(W49,$L$46:$L$49,0))</f>
        <v/>
      </c>
      <c r="AD49" s="6">
        <f>INDEX($T$46:$T$49,MATCH(W49,$V$46:$V$49,0))</f>
        <v/>
      </c>
      <c r="AE49" s="6">
        <f>INDEX($S$46:$S$49,MATCH(W49,$V$46:$V$49,0))</f>
        <v/>
      </c>
      <c r="AF49" s="6">
        <f>INDEX($Q$46:$Q$49,MATCH(W49,$V$46:$V$49,0))</f>
        <v/>
      </c>
    </row>
    <row r="50"/>
    <row r="51">
      <c r="A51" s="11" t="inlineStr">
        <is>
          <t>PUNTOS POSICION EXACTA (suma columna Z)</t>
        </is>
      </c>
      <c r="Z51" s="11">
        <f>SUM(Z2:Z49)</f>
        <v/>
      </c>
    </row>
    <row r="52"/>
    <row r="53"/>
    <row r="54">
      <c r="A54" s="5" t="inlineStr">
        <is>
          <t>Grupo</t>
        </is>
      </c>
      <c r="B54" s="5" t="inlineStr">
        <is>
          <t>EquipoReal3ro</t>
        </is>
      </c>
      <c r="C54" s="5" t="inlineStr">
        <is>
          <t>PtsReal</t>
        </is>
      </c>
      <c r="D54" s="5" t="inlineStr">
        <is>
          <t>DGReal</t>
        </is>
      </c>
      <c r="E54" s="5" t="inlineStr">
        <is>
          <t>GFReal</t>
        </is>
      </c>
      <c r="F54" s="5" t="inlineStr">
        <is>
          <t>OrdenReal</t>
        </is>
      </c>
      <c r="G54" s="5" t="inlineStr">
        <is>
          <t>RankReal(1-12)</t>
        </is>
      </c>
      <c r="H54" s="5" t="inlineStr">
        <is>
          <t>ClasificaReal</t>
        </is>
      </c>
      <c r="I54" s="5" t="inlineStr">
        <is>
          <t>EquipoPron3ro</t>
        </is>
      </c>
      <c r="J54" s="5" t="inlineStr">
        <is>
          <t>PtsPron</t>
        </is>
      </c>
      <c r="K54" s="5" t="inlineStr">
        <is>
          <t>DGPron</t>
        </is>
      </c>
      <c r="L54" s="5" t="inlineStr">
        <is>
          <t>GFPron</t>
        </is>
      </c>
      <c r="M54" s="5" t="inlineStr">
        <is>
          <t>OrdenPron</t>
        </is>
      </c>
      <c r="N54" s="5" t="inlineStr">
        <is>
          <t>RankPron(1-12)</t>
        </is>
      </c>
      <c r="O54" s="5" t="inlineStr">
        <is>
          <t>ClasificaPron</t>
        </is>
      </c>
    </row>
    <row r="55">
      <c r="A55" s="6" t="inlineStr">
        <is>
          <t>A</t>
        </is>
      </c>
      <c r="B55" s="6">
        <f>X4</f>
        <v/>
      </c>
      <c r="C55" s="6">
        <f>AA4</f>
        <v/>
      </c>
      <c r="D55" s="6">
        <f>AB4</f>
        <v/>
      </c>
      <c r="E55" s="6">
        <f>AC4</f>
        <v/>
      </c>
      <c r="F55" s="6">
        <f>C55*1000000+D55*1000+E55*10-0</f>
        <v/>
      </c>
      <c r="G55" s="6">
        <f>1+COUNTIF($F$55:$F$66,"&gt;"&amp;F55)</f>
        <v/>
      </c>
      <c r="H55" s="6">
        <f>IF(G55&lt;=8,1,0)</f>
        <v/>
      </c>
      <c r="I55" s="6">
        <f>Y4</f>
        <v/>
      </c>
      <c r="J55" s="6">
        <f>AD4</f>
        <v/>
      </c>
      <c r="K55" s="6">
        <f>AE4</f>
        <v/>
      </c>
      <c r="L55" s="6">
        <f>AF4</f>
        <v/>
      </c>
      <c r="M55" s="6">
        <f>J55*1000000+K55*1000+L55*10-0</f>
        <v/>
      </c>
      <c r="N55" s="6">
        <f>1+COUNTIF($M$55:$M$66,"&gt;"&amp;M55)</f>
        <v/>
      </c>
      <c r="O55" s="6">
        <f>IF(N55&lt;=8,1,0)</f>
        <v/>
      </c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  <c r="AB55" s="6" t="n"/>
      <c r="AC55" s="6" t="n"/>
      <c r="AD55" s="6" t="n"/>
      <c r="AE55" s="6" t="n"/>
      <c r="AF55" s="6" t="n"/>
    </row>
    <row r="56">
      <c r="A56" s="6" t="inlineStr">
        <is>
          <t>B</t>
        </is>
      </c>
      <c r="B56" s="6">
        <f>X8</f>
        <v/>
      </c>
      <c r="C56" s="6">
        <f>AA8</f>
        <v/>
      </c>
      <c r="D56" s="6">
        <f>AB8</f>
        <v/>
      </c>
      <c r="E56" s="6">
        <f>AC8</f>
        <v/>
      </c>
      <c r="F56" s="6">
        <f>C56*1000000+D56*1000+E56*10-1</f>
        <v/>
      </c>
      <c r="G56" s="6">
        <f>1+COUNTIF($F$55:$F$66,"&gt;"&amp;F56)</f>
        <v/>
      </c>
      <c r="H56" s="6">
        <f>IF(G56&lt;=8,1,0)</f>
        <v/>
      </c>
      <c r="I56" s="6">
        <f>Y8</f>
        <v/>
      </c>
      <c r="J56" s="6">
        <f>AD8</f>
        <v/>
      </c>
      <c r="K56" s="6">
        <f>AE8</f>
        <v/>
      </c>
      <c r="L56" s="6">
        <f>AF8</f>
        <v/>
      </c>
      <c r="M56" s="6">
        <f>J56*1000000+K56*1000+L56*10-1</f>
        <v/>
      </c>
      <c r="N56" s="6">
        <f>1+COUNTIF($M$55:$M$66,"&gt;"&amp;M56)</f>
        <v/>
      </c>
      <c r="O56" s="6">
        <f>IF(N56&lt;=8,1,0)</f>
        <v/>
      </c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  <c r="AD56" s="6" t="n"/>
      <c r="AE56" s="6" t="n"/>
      <c r="AF56" s="6" t="n"/>
    </row>
    <row r="57">
      <c r="A57" s="6" t="inlineStr">
        <is>
          <t>C</t>
        </is>
      </c>
      <c r="B57" s="6">
        <f>X12</f>
        <v/>
      </c>
      <c r="C57" s="6">
        <f>AA12</f>
        <v/>
      </c>
      <c r="D57" s="6">
        <f>AB12</f>
        <v/>
      </c>
      <c r="E57" s="6">
        <f>AC12</f>
        <v/>
      </c>
      <c r="F57" s="6">
        <f>C57*1000000+D57*1000+E57*10-2</f>
        <v/>
      </c>
      <c r="G57" s="6">
        <f>1+COUNTIF($F$55:$F$66,"&gt;"&amp;F57)</f>
        <v/>
      </c>
      <c r="H57" s="6">
        <f>IF(G57&lt;=8,1,0)</f>
        <v/>
      </c>
      <c r="I57" s="6">
        <f>Y12</f>
        <v/>
      </c>
      <c r="J57" s="6">
        <f>AD12</f>
        <v/>
      </c>
      <c r="K57" s="6">
        <f>AE12</f>
        <v/>
      </c>
      <c r="L57" s="6">
        <f>AF12</f>
        <v/>
      </c>
      <c r="M57" s="6">
        <f>J57*1000000+K57*1000+L57*10-2</f>
        <v/>
      </c>
      <c r="N57" s="6">
        <f>1+COUNTIF($M$55:$M$66,"&gt;"&amp;M57)</f>
        <v/>
      </c>
      <c r="O57" s="6">
        <f>IF(N57&lt;=8,1,0)</f>
        <v/>
      </c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  <c r="AB57" s="6" t="n"/>
      <c r="AC57" s="6" t="n"/>
      <c r="AD57" s="6" t="n"/>
      <c r="AE57" s="6" t="n"/>
      <c r="AF57" s="6" t="n"/>
    </row>
    <row r="58">
      <c r="A58" s="6" t="inlineStr">
        <is>
          <t>D</t>
        </is>
      </c>
      <c r="B58" s="6">
        <f>X16</f>
        <v/>
      </c>
      <c r="C58" s="6">
        <f>AA16</f>
        <v/>
      </c>
      <c r="D58" s="6">
        <f>AB16</f>
        <v/>
      </c>
      <c r="E58" s="6">
        <f>AC16</f>
        <v/>
      </c>
      <c r="F58" s="6">
        <f>C58*1000000+D58*1000+E58*10-3</f>
        <v/>
      </c>
      <c r="G58" s="6">
        <f>1+COUNTIF($F$55:$F$66,"&gt;"&amp;F58)</f>
        <v/>
      </c>
      <c r="H58" s="6">
        <f>IF(G58&lt;=8,1,0)</f>
        <v/>
      </c>
      <c r="I58" s="6">
        <f>Y16</f>
        <v/>
      </c>
      <c r="J58" s="6">
        <f>AD16</f>
        <v/>
      </c>
      <c r="K58" s="6">
        <f>AE16</f>
        <v/>
      </c>
      <c r="L58" s="6">
        <f>AF16</f>
        <v/>
      </c>
      <c r="M58" s="6">
        <f>J58*1000000+K58*1000+L58*10-3</f>
        <v/>
      </c>
      <c r="N58" s="6">
        <f>1+COUNTIF($M$55:$M$66,"&gt;"&amp;M58)</f>
        <v/>
      </c>
      <c r="O58" s="6">
        <f>IF(N58&lt;=8,1,0)</f>
        <v/>
      </c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  <c r="AB58" s="6" t="n"/>
      <c r="AC58" s="6" t="n"/>
      <c r="AD58" s="6" t="n"/>
      <c r="AE58" s="6" t="n"/>
      <c r="AF58" s="6" t="n"/>
    </row>
    <row r="59">
      <c r="A59" s="6" t="inlineStr">
        <is>
          <t>E</t>
        </is>
      </c>
      <c r="B59" s="6">
        <f>X20</f>
        <v/>
      </c>
      <c r="C59" s="6">
        <f>AA20</f>
        <v/>
      </c>
      <c r="D59" s="6">
        <f>AB20</f>
        <v/>
      </c>
      <c r="E59" s="6">
        <f>AC20</f>
        <v/>
      </c>
      <c r="F59" s="6">
        <f>C59*1000000+D59*1000+E59*10-4</f>
        <v/>
      </c>
      <c r="G59" s="6">
        <f>1+COUNTIF($F$55:$F$66,"&gt;"&amp;F59)</f>
        <v/>
      </c>
      <c r="H59" s="6">
        <f>IF(G59&lt;=8,1,0)</f>
        <v/>
      </c>
      <c r="I59" s="6">
        <f>Y20</f>
        <v/>
      </c>
      <c r="J59" s="6">
        <f>AD20</f>
        <v/>
      </c>
      <c r="K59" s="6">
        <f>AE20</f>
        <v/>
      </c>
      <c r="L59" s="6">
        <f>AF20</f>
        <v/>
      </c>
      <c r="M59" s="6">
        <f>J59*1000000+K59*1000+L59*10-4</f>
        <v/>
      </c>
      <c r="N59" s="6">
        <f>1+COUNTIF($M$55:$M$66,"&gt;"&amp;M59)</f>
        <v/>
      </c>
      <c r="O59" s="6">
        <f>IF(N59&lt;=8,1,0)</f>
        <v/>
      </c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  <c r="AB59" s="6" t="n"/>
      <c r="AC59" s="6" t="n"/>
      <c r="AD59" s="6" t="n"/>
      <c r="AE59" s="6" t="n"/>
      <c r="AF59" s="6" t="n"/>
    </row>
    <row r="60">
      <c r="A60" s="6" t="inlineStr">
        <is>
          <t>F</t>
        </is>
      </c>
      <c r="B60" s="6">
        <f>X24</f>
        <v/>
      </c>
      <c r="C60" s="6">
        <f>AA24</f>
        <v/>
      </c>
      <c r="D60" s="6">
        <f>AB24</f>
        <v/>
      </c>
      <c r="E60" s="6">
        <f>AC24</f>
        <v/>
      </c>
      <c r="F60" s="6">
        <f>C60*1000000+D60*1000+E60*10-5</f>
        <v/>
      </c>
      <c r="G60" s="6">
        <f>1+COUNTIF($F$55:$F$66,"&gt;"&amp;F60)</f>
        <v/>
      </c>
      <c r="H60" s="6">
        <f>IF(G60&lt;=8,1,0)</f>
        <v/>
      </c>
      <c r="I60" s="6">
        <f>Y24</f>
        <v/>
      </c>
      <c r="J60" s="6">
        <f>AD24</f>
        <v/>
      </c>
      <c r="K60" s="6">
        <f>AE24</f>
        <v/>
      </c>
      <c r="L60" s="6">
        <f>AF24</f>
        <v/>
      </c>
      <c r="M60" s="6">
        <f>J60*1000000+K60*1000+L60*10-5</f>
        <v/>
      </c>
      <c r="N60" s="6">
        <f>1+COUNTIF($M$55:$M$66,"&gt;"&amp;M60)</f>
        <v/>
      </c>
      <c r="O60" s="6">
        <f>IF(N60&lt;=8,1,0)</f>
        <v/>
      </c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  <c r="AB60" s="6" t="n"/>
      <c r="AC60" s="6" t="n"/>
      <c r="AD60" s="6" t="n"/>
      <c r="AE60" s="6" t="n"/>
      <c r="AF60" s="6" t="n"/>
    </row>
    <row r="61">
      <c r="A61" s="6" t="inlineStr">
        <is>
          <t>G</t>
        </is>
      </c>
      <c r="B61" s="6">
        <f>X28</f>
        <v/>
      </c>
      <c r="C61" s="6">
        <f>AA28</f>
        <v/>
      </c>
      <c r="D61" s="6">
        <f>AB28</f>
        <v/>
      </c>
      <c r="E61" s="6">
        <f>AC28</f>
        <v/>
      </c>
      <c r="F61" s="6">
        <f>C61*1000000+D61*1000+E61*10-6</f>
        <v/>
      </c>
      <c r="G61" s="6">
        <f>1+COUNTIF($F$55:$F$66,"&gt;"&amp;F61)</f>
        <v/>
      </c>
      <c r="H61" s="6">
        <f>IF(G61&lt;=8,1,0)</f>
        <v/>
      </c>
      <c r="I61" s="6">
        <f>Y28</f>
        <v/>
      </c>
      <c r="J61" s="6">
        <f>AD28</f>
        <v/>
      </c>
      <c r="K61" s="6">
        <f>AE28</f>
        <v/>
      </c>
      <c r="L61" s="6">
        <f>AF28</f>
        <v/>
      </c>
      <c r="M61" s="6">
        <f>J61*1000000+K61*1000+L61*10-6</f>
        <v/>
      </c>
      <c r="N61" s="6">
        <f>1+COUNTIF($M$55:$M$66,"&gt;"&amp;M61)</f>
        <v/>
      </c>
      <c r="O61" s="6">
        <f>IF(N61&lt;=8,1,0)</f>
        <v/>
      </c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  <c r="AB61" s="6" t="n"/>
      <c r="AC61" s="6" t="n"/>
      <c r="AD61" s="6" t="n"/>
      <c r="AE61" s="6" t="n"/>
      <c r="AF61" s="6" t="n"/>
    </row>
    <row r="62">
      <c r="A62" s="6" t="inlineStr">
        <is>
          <t>H</t>
        </is>
      </c>
      <c r="B62" s="6">
        <f>X32</f>
        <v/>
      </c>
      <c r="C62" s="6">
        <f>AA32</f>
        <v/>
      </c>
      <c r="D62" s="6">
        <f>AB32</f>
        <v/>
      </c>
      <c r="E62" s="6">
        <f>AC32</f>
        <v/>
      </c>
      <c r="F62" s="6">
        <f>C62*1000000+D62*1000+E62*10-7</f>
        <v/>
      </c>
      <c r="G62" s="6">
        <f>1+COUNTIF($F$55:$F$66,"&gt;"&amp;F62)</f>
        <v/>
      </c>
      <c r="H62" s="6">
        <f>IF(G62&lt;=8,1,0)</f>
        <v/>
      </c>
      <c r="I62" s="6">
        <f>Y32</f>
        <v/>
      </c>
      <c r="J62" s="6">
        <f>AD32</f>
        <v/>
      </c>
      <c r="K62" s="6">
        <f>AE32</f>
        <v/>
      </c>
      <c r="L62" s="6">
        <f>AF32</f>
        <v/>
      </c>
      <c r="M62" s="6">
        <f>J62*1000000+K62*1000+L62*10-7</f>
        <v/>
      </c>
      <c r="N62" s="6">
        <f>1+COUNTIF($M$55:$M$66,"&gt;"&amp;M62)</f>
        <v/>
      </c>
      <c r="O62" s="6">
        <f>IF(N62&lt;=8,1,0)</f>
        <v/>
      </c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  <c r="AB62" s="6" t="n"/>
      <c r="AC62" s="6" t="n"/>
      <c r="AD62" s="6" t="n"/>
      <c r="AE62" s="6" t="n"/>
      <c r="AF62" s="6" t="n"/>
    </row>
    <row r="63">
      <c r="A63" s="6" t="inlineStr">
        <is>
          <t>I</t>
        </is>
      </c>
      <c r="B63" s="6">
        <f>X36</f>
        <v/>
      </c>
      <c r="C63" s="6">
        <f>AA36</f>
        <v/>
      </c>
      <c r="D63" s="6">
        <f>AB36</f>
        <v/>
      </c>
      <c r="E63" s="6">
        <f>AC36</f>
        <v/>
      </c>
      <c r="F63" s="6">
        <f>C63*1000000+D63*1000+E63*10-8</f>
        <v/>
      </c>
      <c r="G63" s="6">
        <f>1+COUNTIF($F$55:$F$66,"&gt;"&amp;F63)</f>
        <v/>
      </c>
      <c r="H63" s="6">
        <f>IF(G63&lt;=8,1,0)</f>
        <v/>
      </c>
      <c r="I63" s="6">
        <f>Y36</f>
        <v/>
      </c>
      <c r="J63" s="6">
        <f>AD36</f>
        <v/>
      </c>
      <c r="K63" s="6">
        <f>AE36</f>
        <v/>
      </c>
      <c r="L63" s="6">
        <f>AF36</f>
        <v/>
      </c>
      <c r="M63" s="6">
        <f>J63*1000000+K63*1000+L63*10-8</f>
        <v/>
      </c>
      <c r="N63" s="6">
        <f>1+COUNTIF($M$55:$M$66,"&gt;"&amp;M63)</f>
        <v/>
      </c>
      <c r="O63" s="6">
        <f>IF(N63&lt;=8,1,0)</f>
        <v/>
      </c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  <c r="AB63" s="6" t="n"/>
      <c r="AC63" s="6" t="n"/>
      <c r="AD63" s="6" t="n"/>
      <c r="AE63" s="6" t="n"/>
      <c r="AF63" s="6" t="n"/>
    </row>
    <row r="64">
      <c r="A64" s="6" t="inlineStr">
        <is>
          <t>J</t>
        </is>
      </c>
      <c r="B64" s="6">
        <f>X40</f>
        <v/>
      </c>
      <c r="C64" s="6">
        <f>AA40</f>
        <v/>
      </c>
      <c r="D64" s="6">
        <f>AB40</f>
        <v/>
      </c>
      <c r="E64" s="6">
        <f>AC40</f>
        <v/>
      </c>
      <c r="F64" s="6">
        <f>C64*1000000+D64*1000+E64*10-9</f>
        <v/>
      </c>
      <c r="G64" s="6">
        <f>1+COUNTIF($F$55:$F$66,"&gt;"&amp;F64)</f>
        <v/>
      </c>
      <c r="H64" s="6">
        <f>IF(G64&lt;=8,1,0)</f>
        <v/>
      </c>
      <c r="I64" s="6">
        <f>Y40</f>
        <v/>
      </c>
      <c r="J64" s="6">
        <f>AD40</f>
        <v/>
      </c>
      <c r="K64" s="6">
        <f>AE40</f>
        <v/>
      </c>
      <c r="L64" s="6">
        <f>AF40</f>
        <v/>
      </c>
      <c r="M64" s="6">
        <f>J64*1000000+K64*1000+L64*10-9</f>
        <v/>
      </c>
      <c r="N64" s="6">
        <f>1+COUNTIF($M$55:$M$66,"&gt;"&amp;M64)</f>
        <v/>
      </c>
      <c r="O64" s="6">
        <f>IF(N64&lt;=8,1,0)</f>
        <v/>
      </c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  <c r="AD64" s="6" t="n"/>
      <c r="AE64" s="6" t="n"/>
      <c r="AF64" s="6" t="n"/>
    </row>
    <row r="65">
      <c r="A65" s="6" t="inlineStr">
        <is>
          <t>K</t>
        </is>
      </c>
      <c r="B65" s="6">
        <f>X44</f>
        <v/>
      </c>
      <c r="C65" s="6">
        <f>AA44</f>
        <v/>
      </c>
      <c r="D65" s="6">
        <f>AB44</f>
        <v/>
      </c>
      <c r="E65" s="6">
        <f>AC44</f>
        <v/>
      </c>
      <c r="F65" s="6">
        <f>C65*1000000+D65*1000+E65*10-10</f>
        <v/>
      </c>
      <c r="G65" s="6">
        <f>1+COUNTIF($F$55:$F$66,"&gt;"&amp;F65)</f>
        <v/>
      </c>
      <c r="H65" s="6">
        <f>IF(G65&lt;=8,1,0)</f>
        <v/>
      </c>
      <c r="I65" s="6">
        <f>Y44</f>
        <v/>
      </c>
      <c r="J65" s="6">
        <f>AD44</f>
        <v/>
      </c>
      <c r="K65" s="6">
        <f>AE44</f>
        <v/>
      </c>
      <c r="L65" s="6">
        <f>AF44</f>
        <v/>
      </c>
      <c r="M65" s="6">
        <f>J65*1000000+K65*1000+L65*10-10</f>
        <v/>
      </c>
      <c r="N65" s="6">
        <f>1+COUNTIF($M$55:$M$66,"&gt;"&amp;M65)</f>
        <v/>
      </c>
      <c r="O65" s="6">
        <f>IF(N65&lt;=8,1,0)</f>
        <v/>
      </c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  <c r="AB65" s="6" t="n"/>
      <c r="AC65" s="6" t="n"/>
      <c r="AD65" s="6" t="n"/>
      <c r="AE65" s="6" t="n"/>
      <c r="AF65" s="6" t="n"/>
    </row>
    <row r="66">
      <c r="A66" s="6" t="inlineStr">
        <is>
          <t>L</t>
        </is>
      </c>
      <c r="B66" s="6">
        <f>X48</f>
        <v/>
      </c>
      <c r="C66" s="6">
        <f>AA48</f>
        <v/>
      </c>
      <c r="D66" s="6">
        <f>AB48</f>
        <v/>
      </c>
      <c r="E66" s="6">
        <f>AC48</f>
        <v/>
      </c>
      <c r="F66" s="6">
        <f>C66*1000000+D66*1000+E66*10-11</f>
        <v/>
      </c>
      <c r="G66" s="6">
        <f>1+COUNTIF($F$55:$F$66,"&gt;"&amp;F66)</f>
        <v/>
      </c>
      <c r="H66" s="6">
        <f>IF(G66&lt;=8,1,0)</f>
        <v/>
      </c>
      <c r="I66" s="6">
        <f>Y48</f>
        <v/>
      </c>
      <c r="J66" s="6">
        <f>AD48</f>
        <v/>
      </c>
      <c r="K66" s="6">
        <f>AE48</f>
        <v/>
      </c>
      <c r="L66" s="6">
        <f>AF48</f>
        <v/>
      </c>
      <c r="M66" s="6">
        <f>J66*1000000+K66*1000+L66*10-11</f>
        <v/>
      </c>
      <c r="N66" s="6">
        <f>1+COUNTIF($M$55:$M$66,"&gt;"&amp;M66)</f>
        <v/>
      </c>
      <c r="O66" s="6">
        <f>IF(N66&lt;=8,1,0)</f>
        <v/>
      </c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  <c r="AB66" s="6" t="n"/>
      <c r="AC66" s="6" t="n"/>
      <c r="AD66" s="6" t="n"/>
      <c r="AE66" s="6" t="n"/>
      <c r="AF66" s="6" t="n"/>
    </row>
    <row r="67"/>
    <row r="68"/>
    <row r="69">
      <c r="A69" s="11" t="inlineStr">
        <is>
          <t>8 MEJORES TERCEROS</t>
        </is>
      </c>
    </row>
    <row r="70">
      <c r="A70" s="5" t="inlineStr">
        <is>
          <t>Puesto</t>
        </is>
      </c>
      <c r="B70" s="5" t="inlineStr">
        <is>
          <t>Real</t>
        </is>
      </c>
      <c r="C70" s="5" t="inlineStr">
        <is>
          <t>Pronostico</t>
        </is>
      </c>
    </row>
    <row r="71">
      <c r="A71" t="n">
        <v>1</v>
      </c>
      <c r="B71">
        <f>IFERROR(INDEX($B$55:$B$66,MATCH(1,$G$55:$G$66,0)),"")</f>
        <v/>
      </c>
      <c r="C71">
        <f>IFERROR(INDEX($I$55:$I$66,MATCH(1,$N$55:$N$66,0)),"")</f>
        <v/>
      </c>
    </row>
    <row r="72">
      <c r="A72" t="n">
        <v>2</v>
      </c>
      <c r="B72">
        <f>IFERROR(INDEX($B$55:$B$66,MATCH(2,$G$55:$G$66,0)),"")</f>
        <v/>
      </c>
      <c r="C72">
        <f>IFERROR(INDEX($I$55:$I$66,MATCH(2,$N$55:$N$66,0)),"")</f>
        <v/>
      </c>
    </row>
    <row r="73">
      <c r="A73" t="n">
        <v>3</v>
      </c>
      <c r="B73">
        <f>IFERROR(INDEX($B$55:$B$66,MATCH(3,$G$55:$G$66,0)),"")</f>
        <v/>
      </c>
      <c r="C73">
        <f>IFERROR(INDEX($I$55:$I$66,MATCH(3,$N$55:$N$66,0)),"")</f>
        <v/>
      </c>
    </row>
    <row r="74">
      <c r="A74" t="n">
        <v>4</v>
      </c>
      <c r="B74">
        <f>IFERROR(INDEX($B$55:$B$66,MATCH(4,$G$55:$G$66,0)),"")</f>
        <v/>
      </c>
      <c r="C74">
        <f>IFERROR(INDEX($I$55:$I$66,MATCH(4,$N$55:$N$66,0)),"")</f>
        <v/>
      </c>
    </row>
    <row r="75">
      <c r="A75" t="n">
        <v>5</v>
      </c>
      <c r="B75">
        <f>IFERROR(INDEX($B$55:$B$66,MATCH(5,$G$55:$G$66,0)),"")</f>
        <v/>
      </c>
      <c r="C75">
        <f>IFERROR(INDEX($I$55:$I$66,MATCH(5,$N$55:$N$66,0)),"")</f>
        <v/>
      </c>
    </row>
    <row r="76">
      <c r="A76" t="n">
        <v>6</v>
      </c>
      <c r="B76">
        <f>IFERROR(INDEX($B$55:$B$66,MATCH(6,$G$55:$G$66,0)),"")</f>
        <v/>
      </c>
      <c r="C76">
        <f>IFERROR(INDEX($I$55:$I$66,MATCH(6,$N$55:$N$66,0)),"")</f>
        <v/>
      </c>
    </row>
    <row r="77">
      <c r="A77" t="n">
        <v>7</v>
      </c>
      <c r="B77">
        <f>IFERROR(INDEX($B$55:$B$66,MATCH(7,$G$55:$G$66,0)),"")</f>
        <v/>
      </c>
      <c r="C77">
        <f>IFERROR(INDEX($I$55:$I$66,MATCH(7,$N$55:$N$66,0)),"")</f>
        <v/>
      </c>
    </row>
    <row r="78">
      <c r="A78" t="n">
        <v>8</v>
      </c>
      <c r="B78">
        <f>IFERROR(INDEX($B$55:$B$66,MATCH(8,$G$55:$G$66,0)),"")</f>
        <v/>
      </c>
      <c r="C78">
        <f>IFERROR(INDEX($I$55:$I$66,MATCH(8,$N$55:$N$66,0)),"")</f>
        <v/>
      </c>
    </row>
    <row r="79"/>
    <row r="80"/>
    <row r="81">
      <c r="A81" s="11" t="inlineStr">
        <is>
          <t>CLASIFICADOS A 32AVOS</t>
        </is>
      </c>
    </row>
    <row r="82">
      <c r="A82" s="5" t="inlineStr">
        <is>
          <t>#</t>
        </is>
      </c>
      <c r="B82" s="5" t="inlineStr">
        <is>
          <t>Real</t>
        </is>
      </c>
      <c r="C82" s="5" t="inlineStr">
        <is>
          <t>Pronostico</t>
        </is>
      </c>
    </row>
    <row r="83">
      <c r="A83" t="n">
        <v>1</v>
      </c>
      <c r="B83">
        <f>X2</f>
        <v/>
      </c>
      <c r="C83">
        <f>Y2</f>
        <v/>
      </c>
    </row>
    <row r="84">
      <c r="A84" t="n">
        <v>2</v>
      </c>
      <c r="B84">
        <f>X3</f>
        <v/>
      </c>
      <c r="C84">
        <f>Y3</f>
        <v/>
      </c>
    </row>
    <row r="85">
      <c r="A85" t="n">
        <v>3</v>
      </c>
      <c r="B85">
        <f>X6</f>
        <v/>
      </c>
      <c r="C85">
        <f>Y6</f>
        <v/>
      </c>
    </row>
    <row r="86">
      <c r="A86" t="n">
        <v>4</v>
      </c>
      <c r="B86">
        <f>X7</f>
        <v/>
      </c>
      <c r="C86">
        <f>Y7</f>
        <v/>
      </c>
    </row>
    <row r="87">
      <c r="A87" t="n">
        <v>5</v>
      </c>
      <c r="B87">
        <f>X10</f>
        <v/>
      </c>
      <c r="C87">
        <f>Y10</f>
        <v/>
      </c>
    </row>
    <row r="88">
      <c r="A88" t="n">
        <v>6</v>
      </c>
      <c r="B88">
        <f>X11</f>
        <v/>
      </c>
      <c r="C88">
        <f>Y11</f>
        <v/>
      </c>
    </row>
    <row r="89">
      <c r="A89" t="n">
        <v>7</v>
      </c>
      <c r="B89">
        <f>X14</f>
        <v/>
      </c>
      <c r="C89">
        <f>Y14</f>
        <v/>
      </c>
    </row>
    <row r="90">
      <c r="A90" t="n">
        <v>8</v>
      </c>
      <c r="B90">
        <f>X15</f>
        <v/>
      </c>
      <c r="C90">
        <f>Y15</f>
        <v/>
      </c>
    </row>
    <row r="91">
      <c r="A91" t="n">
        <v>9</v>
      </c>
      <c r="B91">
        <f>X18</f>
        <v/>
      </c>
      <c r="C91">
        <f>Y18</f>
        <v/>
      </c>
    </row>
    <row r="92">
      <c r="A92" t="n">
        <v>10</v>
      </c>
      <c r="B92">
        <f>X19</f>
        <v/>
      </c>
      <c r="C92">
        <f>Y19</f>
        <v/>
      </c>
    </row>
    <row r="93">
      <c r="A93" t="n">
        <v>11</v>
      </c>
      <c r="B93">
        <f>X22</f>
        <v/>
      </c>
      <c r="C93">
        <f>Y22</f>
        <v/>
      </c>
    </row>
    <row r="94">
      <c r="A94" t="n">
        <v>12</v>
      </c>
      <c r="B94">
        <f>X23</f>
        <v/>
      </c>
      <c r="C94">
        <f>Y23</f>
        <v/>
      </c>
    </row>
    <row r="95">
      <c r="A95" t="n">
        <v>13</v>
      </c>
      <c r="B95">
        <f>X26</f>
        <v/>
      </c>
      <c r="C95">
        <f>Y26</f>
        <v/>
      </c>
    </row>
    <row r="96">
      <c r="A96" t="n">
        <v>14</v>
      </c>
      <c r="B96">
        <f>X27</f>
        <v/>
      </c>
      <c r="C96">
        <f>Y27</f>
        <v/>
      </c>
    </row>
    <row r="97">
      <c r="A97" t="n">
        <v>15</v>
      </c>
      <c r="B97">
        <f>X30</f>
        <v/>
      </c>
      <c r="C97">
        <f>Y30</f>
        <v/>
      </c>
    </row>
    <row r="98">
      <c r="A98" t="n">
        <v>16</v>
      </c>
      <c r="B98">
        <f>X31</f>
        <v/>
      </c>
      <c r="C98">
        <f>Y31</f>
        <v/>
      </c>
    </row>
    <row r="99">
      <c r="A99" t="n">
        <v>17</v>
      </c>
      <c r="B99">
        <f>X34</f>
        <v/>
      </c>
      <c r="C99">
        <f>Y34</f>
        <v/>
      </c>
    </row>
    <row r="100">
      <c r="A100" t="n">
        <v>18</v>
      </c>
      <c r="B100">
        <f>X35</f>
        <v/>
      </c>
      <c r="C100">
        <f>Y35</f>
        <v/>
      </c>
    </row>
    <row r="101">
      <c r="A101" t="n">
        <v>19</v>
      </c>
      <c r="B101">
        <f>X38</f>
        <v/>
      </c>
      <c r="C101">
        <f>Y38</f>
        <v/>
      </c>
    </row>
    <row r="102">
      <c r="A102" t="n">
        <v>20</v>
      </c>
      <c r="B102">
        <f>X39</f>
        <v/>
      </c>
      <c r="C102">
        <f>Y39</f>
        <v/>
      </c>
    </row>
    <row r="103">
      <c r="A103" t="n">
        <v>21</v>
      </c>
      <c r="B103">
        <f>X42</f>
        <v/>
      </c>
      <c r="C103">
        <f>Y42</f>
        <v/>
      </c>
    </row>
    <row r="104">
      <c r="A104" t="n">
        <v>22</v>
      </c>
      <c r="B104">
        <f>X43</f>
        <v/>
      </c>
      <c r="C104">
        <f>Y43</f>
        <v/>
      </c>
    </row>
    <row r="105">
      <c r="A105" t="n">
        <v>23</v>
      </c>
      <c r="B105">
        <f>X46</f>
        <v/>
      </c>
      <c r="C105">
        <f>Y46</f>
        <v/>
      </c>
    </row>
    <row r="106">
      <c r="A106" t="n">
        <v>24</v>
      </c>
      <c r="B106">
        <f>X47</f>
        <v/>
      </c>
      <c r="C106">
        <f>Y47</f>
        <v/>
      </c>
    </row>
    <row r="107">
      <c r="A107" t="n">
        <v>25</v>
      </c>
      <c r="B107">
        <f>B71</f>
        <v/>
      </c>
      <c r="C107">
        <f>C71</f>
        <v/>
      </c>
    </row>
    <row r="108">
      <c r="A108" t="n">
        <v>26</v>
      </c>
      <c r="B108">
        <f>B72</f>
        <v/>
      </c>
      <c r="C108">
        <f>C72</f>
        <v/>
      </c>
    </row>
    <row r="109">
      <c r="A109" t="n">
        <v>27</v>
      </c>
      <c r="B109">
        <f>B73</f>
        <v/>
      </c>
      <c r="C109">
        <f>C73</f>
        <v/>
      </c>
    </row>
    <row r="110">
      <c r="A110" t="n">
        <v>28</v>
      </c>
      <c r="B110">
        <f>B74</f>
        <v/>
      </c>
      <c r="C110">
        <f>C74</f>
        <v/>
      </c>
    </row>
    <row r="111">
      <c r="A111" t="n">
        <v>29</v>
      </c>
      <c r="B111">
        <f>B75</f>
        <v/>
      </c>
      <c r="C111">
        <f>C75</f>
        <v/>
      </c>
    </row>
    <row r="112">
      <c r="A112" t="n">
        <v>30</v>
      </c>
      <c r="B112">
        <f>B76</f>
        <v/>
      </c>
      <c r="C112">
        <f>C76</f>
        <v/>
      </c>
    </row>
    <row r="113">
      <c r="A113" t="n">
        <v>31</v>
      </c>
      <c r="B113">
        <f>B77</f>
        <v/>
      </c>
      <c r="C113">
        <f>C77</f>
        <v/>
      </c>
    </row>
    <row r="114">
      <c r="A114" t="n">
        <v>32</v>
      </c>
      <c r="B114">
        <f>B78</f>
        <v/>
      </c>
      <c r="C114">
        <f>C78</f>
        <v/>
      </c>
    </row>
    <row r="115"/>
    <row r="116">
      <c r="A116" s="11" t="inlineStr">
        <is>
          <t>PUNTOS CLASIFICADO A 32 (2 pts/equipo)</t>
        </is>
      </c>
      <c r="C116" s="11">
        <f>(MIN(COUNTIF($C$83:$C$114,$B$83),1)+MIN(COUNTIF($C$83:$C$114,$B$84),1)+MIN(COUNTIF($C$83:$C$114,$B$85),1)+MIN(COUNTIF($C$83:$C$114,$B$86),1)+MIN(COUNTIF($C$83:$C$114,$B$87),1)+MIN(COUNTIF($C$83:$C$114,$B$88),1)+MIN(COUNTIF($C$83:$C$114,$B$89),1)+MIN(COUNTIF($C$83:$C$114,$B$90),1)+MIN(COUNTIF($C$83:$C$114,$B$91),1)+MIN(COUNTIF($C$83:$C$114,$B$92),1)+MIN(COUNTIF($C$83:$C$114,$B$93),1)+MIN(COUNTIF($C$83:$C$114,$B$94),1)+MIN(COUNTIF($C$83:$C$114,$B$95),1)+MIN(COUNTIF($C$83:$C$114,$B$96),1)+MIN(COUNTIF($C$83:$C$114,$B$97),1)+MIN(COUNTIF($C$83:$C$114,$B$98),1)+MIN(COUNTIF($C$83:$C$114,$B$99),1)+MIN(COUNTIF($C$83:$C$114,$B$100),1)+MIN(COUNTIF($C$83:$C$114,$B$101),1)+MIN(COUNTIF($C$83:$C$114,$B$102),1)+MIN(COUNTIF($C$83:$C$114,$B$103),1)+MIN(COUNTIF($C$83:$C$114,$B$104),1)+MIN(COUNTIF($C$83:$C$114,$B$105),1)+MIN(COUNTIF($C$83:$C$114,$B$106),1)+MIN(COUNTIF($C$83:$C$114,$B$107),1)+MIN(COUNTIF($C$83:$C$114,$B$108),1)+MIN(COUNTIF($C$83:$C$114,$B$109),1)+MIN(COUNTIF($C$83:$C$114,$B$110),1)+MIN(COUNTIF($C$83:$C$114,$B$111),1)+MIN(COUNTIF($C$83:$C$114,$B$112),1)+MIN(COUNTIF($C$83:$C$114,$B$113),1)+MIN(COUNTIF($C$83:$C$114,$B$114),1))*2</f>
        <v/>
      </c>
    </row>
  </sheetData>
  <mergeCells count="1">
    <mergeCell ref="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30" customWidth="1" min="3" max="3"/>
    <col width="17" customWidth="1" min="4" max="4"/>
    <col width="15" customWidth="1" min="5" max="5"/>
    <col width="12" customWidth="1" min="6" max="6"/>
    <col width="16" customWidth="1" min="7" max="7"/>
    <col width="14" customWidth="1" min="8" max="8"/>
    <col width="30" customWidth="1" min="9" max="9"/>
  </cols>
  <sheetData>
    <row r="1">
      <c r="A1" s="5" t="inlineStr">
        <is>
          <t>Ronda</t>
        </is>
      </c>
      <c r="B1" s="5" t="inlineStr">
        <is>
          <t>#</t>
        </is>
      </c>
      <c r="C1" s="5" t="inlineStr">
        <is>
          <t>Pron. Local</t>
        </is>
      </c>
      <c r="D1" s="5" t="inlineStr">
        <is>
          <t>Pron. Visitante</t>
        </is>
      </c>
      <c r="E1" s="5" t="inlineStr">
        <is>
          <t>Pron. Ganador</t>
        </is>
      </c>
      <c r="F1" s="5" t="inlineStr">
        <is>
          <t>Real Local</t>
        </is>
      </c>
      <c r="G1" s="5" t="inlineStr">
        <is>
          <t>Real Visitante</t>
        </is>
      </c>
      <c r="H1" s="5" t="inlineStr">
        <is>
          <t>Real Ganador</t>
        </is>
      </c>
      <c r="I1" s="5" t="inlineStr">
        <is>
          <t>Puntos Llave</t>
        </is>
      </c>
    </row>
    <row r="2">
      <c r="A2" s="6" t="inlineStr">
        <is>
          <t>32avos</t>
        </is>
      </c>
      <c r="B2" s="6" t="n">
        <v>1</v>
      </c>
      <c r="C2" s="7" t="n"/>
      <c r="D2" s="7" t="n"/>
      <c r="E2" s="7" t="n"/>
      <c r="F2" s="7" t="n"/>
      <c r="G2" s="7" t="n"/>
      <c r="H2" s="7" t="n"/>
      <c r="I2" s="8">
        <f>IF(OR(C2="",D2="",F2="",G2=""),0,IF(OR(AND(C2=F2,D2=G2),AND(C2=G2,D2=F2)),3,0))</f>
        <v/>
      </c>
    </row>
    <row r="3">
      <c r="A3" s="6" t="inlineStr">
        <is>
          <t>32avos</t>
        </is>
      </c>
      <c r="B3" s="6" t="n">
        <v>2</v>
      </c>
      <c r="C3" s="7" t="n"/>
      <c r="D3" s="7" t="n"/>
      <c r="E3" s="7" t="n"/>
      <c r="F3" s="7" t="n"/>
      <c r="G3" s="7" t="n"/>
      <c r="H3" s="7" t="n"/>
      <c r="I3" s="8">
        <f>IF(OR(C3="",D3="",F3="",G3=""),0,IF(OR(AND(C3=F3,D3=G3),AND(C3=G3,D3=F3)),3,0))</f>
        <v/>
      </c>
    </row>
    <row r="4">
      <c r="A4" s="6" t="inlineStr">
        <is>
          <t>32avos</t>
        </is>
      </c>
      <c r="B4" s="6" t="n">
        <v>3</v>
      </c>
      <c r="C4" s="7" t="n"/>
      <c r="D4" s="7" t="n"/>
      <c r="E4" s="7" t="n"/>
      <c r="F4" s="7" t="n"/>
      <c r="G4" s="7" t="n"/>
      <c r="H4" s="7" t="n"/>
      <c r="I4" s="8">
        <f>IF(OR(C4="",D4="",F4="",G4=""),0,IF(OR(AND(C4=F4,D4=G4),AND(C4=G4,D4=F4)),3,0))</f>
        <v/>
      </c>
    </row>
    <row r="5">
      <c r="A5" s="6" t="inlineStr">
        <is>
          <t>32avos</t>
        </is>
      </c>
      <c r="B5" s="6" t="n">
        <v>4</v>
      </c>
      <c r="C5" s="7" t="n"/>
      <c r="D5" s="7" t="n"/>
      <c r="E5" s="7" t="n"/>
      <c r="F5" s="7" t="n"/>
      <c r="G5" s="7" t="n"/>
      <c r="H5" s="7" t="n"/>
      <c r="I5" s="8">
        <f>IF(OR(C5="",D5="",F5="",G5=""),0,IF(OR(AND(C5=F5,D5=G5),AND(C5=G5,D5=F5)),3,0))</f>
        <v/>
      </c>
    </row>
    <row r="6">
      <c r="A6" s="6" t="inlineStr">
        <is>
          <t>32avos</t>
        </is>
      </c>
      <c r="B6" s="6" t="n">
        <v>5</v>
      </c>
      <c r="C6" s="7" t="n"/>
      <c r="D6" s="7" t="n"/>
      <c r="E6" s="7" t="n"/>
      <c r="F6" s="7" t="n"/>
      <c r="G6" s="7" t="n"/>
      <c r="H6" s="7" t="n"/>
      <c r="I6" s="8">
        <f>IF(OR(C6="",D6="",F6="",G6=""),0,IF(OR(AND(C6=F6,D6=G6),AND(C6=G6,D6=F6)),3,0))</f>
        <v/>
      </c>
    </row>
    <row r="7">
      <c r="A7" s="6" t="inlineStr">
        <is>
          <t>32avos</t>
        </is>
      </c>
      <c r="B7" s="6" t="n">
        <v>6</v>
      </c>
      <c r="C7" s="7" t="n"/>
      <c r="D7" s="7" t="n"/>
      <c r="E7" s="7" t="n"/>
      <c r="F7" s="7" t="n"/>
      <c r="G7" s="7" t="n"/>
      <c r="H7" s="7" t="n"/>
      <c r="I7" s="8">
        <f>IF(OR(C7="",D7="",F7="",G7=""),0,IF(OR(AND(C7=F7,D7=G7),AND(C7=G7,D7=F7)),3,0))</f>
        <v/>
      </c>
    </row>
    <row r="8">
      <c r="A8" s="6" t="inlineStr">
        <is>
          <t>32avos</t>
        </is>
      </c>
      <c r="B8" s="6" t="n">
        <v>7</v>
      </c>
      <c r="C8" s="7" t="n"/>
      <c r="D8" s="7" t="n"/>
      <c r="E8" s="7" t="n"/>
      <c r="F8" s="7" t="n"/>
      <c r="G8" s="7" t="n"/>
      <c r="H8" s="7" t="n"/>
      <c r="I8" s="8">
        <f>IF(OR(C8="",D8="",F8="",G8=""),0,IF(OR(AND(C8=F8,D8=G8),AND(C8=G8,D8=F8)),3,0))</f>
        <v/>
      </c>
    </row>
    <row r="9">
      <c r="A9" s="6" t="inlineStr">
        <is>
          <t>32avos</t>
        </is>
      </c>
      <c r="B9" s="6" t="n">
        <v>8</v>
      </c>
      <c r="C9" s="7" t="n"/>
      <c r="D9" s="7" t="n"/>
      <c r="E9" s="7" t="n"/>
      <c r="F9" s="7" t="n"/>
      <c r="G9" s="7" t="n"/>
      <c r="H9" s="7" t="n"/>
      <c r="I9" s="8">
        <f>IF(OR(C9="",D9="",F9="",G9=""),0,IF(OR(AND(C9=F9,D9=G9),AND(C9=G9,D9=F9)),3,0))</f>
        <v/>
      </c>
    </row>
    <row r="10">
      <c r="A10" s="6" t="inlineStr">
        <is>
          <t>32avos</t>
        </is>
      </c>
      <c r="B10" s="6" t="n">
        <v>9</v>
      </c>
      <c r="C10" s="7" t="n"/>
      <c r="D10" s="7" t="n"/>
      <c r="E10" s="7" t="n"/>
      <c r="F10" s="7" t="n"/>
      <c r="G10" s="7" t="n"/>
      <c r="H10" s="7" t="n"/>
      <c r="I10" s="8">
        <f>IF(OR(C10="",D10="",F10="",G10=""),0,IF(OR(AND(C10=F10,D10=G10),AND(C10=G10,D10=F10)),3,0))</f>
        <v/>
      </c>
    </row>
    <row r="11">
      <c r="A11" s="6" t="inlineStr">
        <is>
          <t>32avos</t>
        </is>
      </c>
      <c r="B11" s="6" t="n">
        <v>10</v>
      </c>
      <c r="C11" s="7" t="n"/>
      <c r="D11" s="7" t="n"/>
      <c r="E11" s="7" t="n"/>
      <c r="F11" s="7" t="n"/>
      <c r="G11" s="7" t="n"/>
      <c r="H11" s="7" t="n"/>
      <c r="I11" s="8">
        <f>IF(OR(C11="",D11="",F11="",G11=""),0,IF(OR(AND(C11=F11,D11=G11),AND(C11=G11,D11=F11)),3,0))</f>
        <v/>
      </c>
    </row>
    <row r="12">
      <c r="A12" s="6" t="inlineStr">
        <is>
          <t>32avos</t>
        </is>
      </c>
      <c r="B12" s="6" t="n">
        <v>11</v>
      </c>
      <c r="C12" s="7" t="n"/>
      <c r="D12" s="7" t="n"/>
      <c r="E12" s="7" t="n"/>
      <c r="F12" s="7" t="n"/>
      <c r="G12" s="7" t="n"/>
      <c r="H12" s="7" t="n"/>
      <c r="I12" s="8">
        <f>IF(OR(C12="",D12="",F12="",G12=""),0,IF(OR(AND(C12=F12,D12=G12),AND(C12=G12,D12=F12)),3,0))</f>
        <v/>
      </c>
    </row>
    <row r="13">
      <c r="A13" s="6" t="inlineStr">
        <is>
          <t>32avos</t>
        </is>
      </c>
      <c r="B13" s="6" t="n">
        <v>12</v>
      </c>
      <c r="C13" s="7" t="n"/>
      <c r="D13" s="7" t="n"/>
      <c r="E13" s="7" t="n"/>
      <c r="F13" s="7" t="n"/>
      <c r="G13" s="7" t="n"/>
      <c r="H13" s="7" t="n"/>
      <c r="I13" s="8">
        <f>IF(OR(C13="",D13="",F13="",G13=""),0,IF(OR(AND(C13=F13,D13=G13),AND(C13=G13,D13=F13)),3,0))</f>
        <v/>
      </c>
    </row>
    <row r="14">
      <c r="A14" s="6" t="inlineStr">
        <is>
          <t>32avos</t>
        </is>
      </c>
      <c r="B14" s="6" t="n">
        <v>13</v>
      </c>
      <c r="C14" s="7" t="n"/>
      <c r="D14" s="7" t="n"/>
      <c r="E14" s="7" t="n"/>
      <c r="F14" s="7" t="n"/>
      <c r="G14" s="7" t="n"/>
      <c r="H14" s="7" t="n"/>
      <c r="I14" s="8">
        <f>IF(OR(C14="",D14="",F14="",G14=""),0,IF(OR(AND(C14=F14,D14=G14),AND(C14=G14,D14=F14)),3,0))</f>
        <v/>
      </c>
    </row>
    <row r="15">
      <c r="A15" s="6" t="inlineStr">
        <is>
          <t>32avos</t>
        </is>
      </c>
      <c r="B15" s="6" t="n">
        <v>14</v>
      </c>
      <c r="C15" s="7" t="n"/>
      <c r="D15" s="7" t="n"/>
      <c r="E15" s="7" t="n"/>
      <c r="F15" s="7" t="n"/>
      <c r="G15" s="7" t="n"/>
      <c r="H15" s="7" t="n"/>
      <c r="I15" s="8">
        <f>IF(OR(C15="",D15="",F15="",G15=""),0,IF(OR(AND(C15=F15,D15=G15),AND(C15=G15,D15=F15)),3,0))</f>
        <v/>
      </c>
    </row>
    <row r="16">
      <c r="A16" s="6" t="inlineStr">
        <is>
          <t>32avos</t>
        </is>
      </c>
      <c r="B16" s="6" t="n">
        <v>15</v>
      </c>
      <c r="C16" s="7" t="n"/>
      <c r="D16" s="7" t="n"/>
      <c r="E16" s="7" t="n"/>
      <c r="F16" s="7" t="n"/>
      <c r="G16" s="7" t="n"/>
      <c r="H16" s="7" t="n"/>
      <c r="I16" s="8">
        <f>IF(OR(C16="",D16="",F16="",G16=""),0,IF(OR(AND(C16=F16,D16=G16),AND(C16=G16,D16=F16)),3,0))</f>
        <v/>
      </c>
    </row>
    <row r="17">
      <c r="A17" s="6" t="inlineStr">
        <is>
          <t>32avos</t>
        </is>
      </c>
      <c r="B17" s="6" t="n">
        <v>16</v>
      </c>
      <c r="C17" s="7" t="n"/>
      <c r="D17" s="7" t="n"/>
      <c r="E17" s="7" t="n"/>
      <c r="F17" s="7" t="n"/>
      <c r="G17" s="7" t="n"/>
      <c r="H17" s="7" t="n"/>
      <c r="I17" s="8">
        <f>IF(OR(C17="",D17="",F17="",G17=""),0,IF(OR(AND(C17=F17,D17=G17),AND(C17=G17,D17=F17)),3,0))</f>
        <v/>
      </c>
    </row>
    <row r="18">
      <c r="A18" s="6" t="inlineStr">
        <is>
          <t>16avos</t>
        </is>
      </c>
      <c r="B18" s="6" t="n">
        <v>1</v>
      </c>
      <c r="C18" s="7" t="n"/>
      <c r="D18" s="7" t="n"/>
      <c r="E18" s="7" t="n"/>
      <c r="F18" s="7" t="n"/>
      <c r="G18" s="7" t="n"/>
      <c r="H18" s="7" t="n"/>
      <c r="I18" s="8">
        <f>IF(OR(C18="",D18="",F18="",G18=""),0,IF(OR(AND(C18=F18,D18=G18),AND(C18=G18,D18=F18)),4,0))</f>
        <v/>
      </c>
    </row>
    <row r="19">
      <c r="A19" s="6" t="inlineStr">
        <is>
          <t>16avos</t>
        </is>
      </c>
      <c r="B19" s="6" t="n">
        <v>2</v>
      </c>
      <c r="C19" s="7" t="n"/>
      <c r="D19" s="7" t="n"/>
      <c r="E19" s="7" t="n"/>
      <c r="F19" s="7" t="n"/>
      <c r="G19" s="7" t="n"/>
      <c r="H19" s="7" t="n"/>
      <c r="I19" s="8">
        <f>IF(OR(C19="",D19="",F19="",G19=""),0,IF(OR(AND(C19=F19,D19=G19),AND(C19=G19,D19=F19)),4,0))</f>
        <v/>
      </c>
    </row>
    <row r="20">
      <c r="A20" s="6" t="inlineStr">
        <is>
          <t>16avos</t>
        </is>
      </c>
      <c r="B20" s="6" t="n">
        <v>3</v>
      </c>
      <c r="C20" s="7" t="n"/>
      <c r="D20" s="7" t="n"/>
      <c r="E20" s="7" t="n"/>
      <c r="F20" s="7" t="n"/>
      <c r="G20" s="7" t="n"/>
      <c r="H20" s="7" t="n"/>
      <c r="I20" s="8">
        <f>IF(OR(C20="",D20="",F20="",G20=""),0,IF(OR(AND(C20=F20,D20=G20),AND(C20=G20,D20=F20)),4,0))</f>
        <v/>
      </c>
    </row>
    <row r="21">
      <c r="A21" s="6" t="inlineStr">
        <is>
          <t>16avos</t>
        </is>
      </c>
      <c r="B21" s="6" t="n">
        <v>4</v>
      </c>
      <c r="C21" s="7" t="n"/>
      <c r="D21" s="7" t="n"/>
      <c r="E21" s="7" t="n"/>
      <c r="F21" s="7" t="n"/>
      <c r="G21" s="7" t="n"/>
      <c r="H21" s="7" t="n"/>
      <c r="I21" s="8">
        <f>IF(OR(C21="",D21="",F21="",G21=""),0,IF(OR(AND(C21=F21,D21=G21),AND(C21=G21,D21=F21)),4,0))</f>
        <v/>
      </c>
    </row>
    <row r="22">
      <c r="A22" s="6" t="inlineStr">
        <is>
          <t>16avos</t>
        </is>
      </c>
      <c r="B22" s="6" t="n">
        <v>5</v>
      </c>
      <c r="C22" s="7" t="n"/>
      <c r="D22" s="7" t="n"/>
      <c r="E22" s="7" t="n"/>
      <c r="F22" s="7" t="n"/>
      <c r="G22" s="7" t="n"/>
      <c r="H22" s="7" t="n"/>
      <c r="I22" s="8">
        <f>IF(OR(C22="",D22="",F22="",G22=""),0,IF(OR(AND(C22=F22,D22=G22),AND(C22=G22,D22=F22)),4,0))</f>
        <v/>
      </c>
    </row>
    <row r="23">
      <c r="A23" s="6" t="inlineStr">
        <is>
          <t>16avos</t>
        </is>
      </c>
      <c r="B23" s="6" t="n">
        <v>6</v>
      </c>
      <c r="C23" s="7" t="n"/>
      <c r="D23" s="7" t="n"/>
      <c r="E23" s="7" t="n"/>
      <c r="F23" s="7" t="n"/>
      <c r="G23" s="7" t="n"/>
      <c r="H23" s="7" t="n"/>
      <c r="I23" s="8">
        <f>IF(OR(C23="",D23="",F23="",G23=""),0,IF(OR(AND(C23=F23,D23=G23),AND(C23=G23,D23=F23)),4,0))</f>
        <v/>
      </c>
    </row>
    <row r="24">
      <c r="A24" s="6" t="inlineStr">
        <is>
          <t>16avos</t>
        </is>
      </c>
      <c r="B24" s="6" t="n">
        <v>7</v>
      </c>
      <c r="C24" s="7" t="n"/>
      <c r="D24" s="7" t="n"/>
      <c r="E24" s="7" t="n"/>
      <c r="F24" s="7" t="n"/>
      <c r="G24" s="7" t="n"/>
      <c r="H24" s="7" t="n"/>
      <c r="I24" s="8">
        <f>IF(OR(C24="",D24="",F24="",G24=""),0,IF(OR(AND(C24=F24,D24=G24),AND(C24=G24,D24=F24)),4,0))</f>
        <v/>
      </c>
    </row>
    <row r="25">
      <c r="A25" s="6" t="inlineStr">
        <is>
          <t>16avos</t>
        </is>
      </c>
      <c r="B25" s="6" t="n">
        <v>8</v>
      </c>
      <c r="C25" s="7" t="n"/>
      <c r="D25" s="7" t="n"/>
      <c r="E25" s="7" t="n"/>
      <c r="F25" s="7" t="n"/>
      <c r="G25" s="7" t="n"/>
      <c r="H25" s="7" t="n"/>
      <c r="I25" s="8">
        <f>IF(OR(C25="",D25="",F25="",G25=""),0,IF(OR(AND(C25=F25,D25=G25),AND(C25=G25,D25=F25)),4,0))</f>
        <v/>
      </c>
    </row>
    <row r="26">
      <c r="A26" s="6" t="inlineStr">
        <is>
          <t>Cuartos</t>
        </is>
      </c>
      <c r="B26" s="6" t="n">
        <v>1</v>
      </c>
      <c r="C26" s="7" t="n"/>
      <c r="D26" s="7" t="n"/>
      <c r="E26" s="7" t="n"/>
      <c r="F26" s="7" t="n"/>
      <c r="G26" s="7" t="n"/>
      <c r="H26" s="7" t="n"/>
      <c r="I26" s="8">
        <f>IF(OR(C26="",D26="",F26="",G26=""),0,IF(OR(AND(C26=F26,D26=G26),AND(C26=G26,D26=F26)),8,0))</f>
        <v/>
      </c>
    </row>
    <row r="27">
      <c r="A27" s="6" t="inlineStr">
        <is>
          <t>Cuartos</t>
        </is>
      </c>
      <c r="B27" s="6" t="n">
        <v>2</v>
      </c>
      <c r="C27" s="7" t="n"/>
      <c r="D27" s="7" t="n"/>
      <c r="E27" s="7" t="n"/>
      <c r="F27" s="7" t="n"/>
      <c r="G27" s="7" t="n"/>
      <c r="H27" s="7" t="n"/>
      <c r="I27" s="8">
        <f>IF(OR(C27="",D27="",F27="",G27=""),0,IF(OR(AND(C27=F27,D27=G27),AND(C27=G27,D27=F27)),8,0))</f>
        <v/>
      </c>
    </row>
    <row r="28">
      <c r="A28" s="6" t="inlineStr">
        <is>
          <t>Cuartos</t>
        </is>
      </c>
      <c r="B28" s="6" t="n">
        <v>3</v>
      </c>
      <c r="C28" s="7" t="n"/>
      <c r="D28" s="7" t="n"/>
      <c r="E28" s="7" t="n"/>
      <c r="F28" s="7" t="n"/>
      <c r="G28" s="7" t="n"/>
      <c r="H28" s="7" t="n"/>
      <c r="I28" s="8">
        <f>IF(OR(C28="",D28="",F28="",G28=""),0,IF(OR(AND(C28=F28,D28=G28),AND(C28=G28,D28=F28)),8,0))</f>
        <v/>
      </c>
    </row>
    <row r="29">
      <c r="A29" s="6" t="inlineStr">
        <is>
          <t>Cuartos</t>
        </is>
      </c>
      <c r="B29" s="6" t="n">
        <v>4</v>
      </c>
      <c r="C29" s="7" t="n"/>
      <c r="D29" s="7" t="n"/>
      <c r="E29" s="7" t="n"/>
      <c r="F29" s="7" t="n"/>
      <c r="G29" s="7" t="n"/>
      <c r="H29" s="7" t="n"/>
      <c r="I29" s="8">
        <f>IF(OR(C29="",D29="",F29="",G29=""),0,IF(OR(AND(C29=F29,D29=G29),AND(C29=G29,D29=F29)),8,0))</f>
        <v/>
      </c>
    </row>
    <row r="30">
      <c r="A30" s="6" t="inlineStr">
        <is>
          <t>Semifinal</t>
        </is>
      </c>
      <c r="B30" s="6" t="n">
        <v>1</v>
      </c>
      <c r="C30" s="7" t="n"/>
      <c r="D30" s="7" t="n"/>
      <c r="E30" s="7" t="n"/>
      <c r="F30" s="7" t="n"/>
      <c r="G30" s="7" t="n"/>
      <c r="H30" s="7" t="n"/>
      <c r="I30" s="8">
        <f>IF(OR(C30="",D30="",F30="",G30=""),0,IF(OR(AND(C30=F30,D30=G30),AND(C30=G30,D30=F30)),8,0))</f>
        <v/>
      </c>
    </row>
    <row r="31">
      <c r="A31" s="6" t="inlineStr">
        <is>
          <t>Semifinal</t>
        </is>
      </c>
      <c r="B31" s="6" t="n">
        <v>2</v>
      </c>
      <c r="C31" s="7" t="n"/>
      <c r="D31" s="7" t="n"/>
      <c r="E31" s="7" t="n"/>
      <c r="F31" s="7" t="n"/>
      <c r="G31" s="7" t="n"/>
      <c r="H31" s="7" t="n"/>
      <c r="I31" s="8">
        <f>IF(OR(C31="",D31="",F31="",G31=""),0,IF(OR(AND(C31=F31,D31=G31),AND(C31=G31,D31=F31)),8,0))</f>
        <v/>
      </c>
    </row>
    <row r="32">
      <c r="A32" s="6" t="inlineStr">
        <is>
          <t>3er Puesto</t>
        </is>
      </c>
      <c r="B32" s="6" t="n">
        <v>1</v>
      </c>
      <c r="C32" s="7" t="n"/>
      <c r="D32" s="7" t="n"/>
      <c r="E32" s="7" t="n"/>
      <c r="F32" s="7" t="n"/>
      <c r="G32" s="7" t="n"/>
      <c r="H32" s="7" t="n"/>
      <c r="I32" s="8">
        <f>IF(OR(C32="",D32="",F32="",G32=""),0,IF(OR(AND(C32=F32,D32=G32),AND(C32=G32,D32=F32)),8,0))</f>
        <v/>
      </c>
    </row>
    <row r="33">
      <c r="A33" s="6" t="inlineStr">
        <is>
          <t>Final</t>
        </is>
      </c>
      <c r="B33" s="6" t="n">
        <v>1</v>
      </c>
      <c r="C33" s="7" t="n"/>
      <c r="D33" s="7" t="n"/>
      <c r="E33" s="7" t="n"/>
      <c r="F33" s="7" t="n"/>
      <c r="G33" s="7" t="n"/>
      <c r="H33" s="7" t="n"/>
      <c r="I33" s="8">
        <f>IF(OR(C33="",D33="",F33="",G33=""),0,IF(OR(AND(C33=F33,D33=G33),AND(C33=G33,D33=F33)),12,0))</f>
        <v/>
      </c>
    </row>
    <row r="34"/>
    <row r="35"/>
    <row r="36">
      <c r="A36" s="11" t="inlineStr">
        <is>
          <t>RESUMEN BRACKET (equipo clasificado + llave)</t>
        </is>
      </c>
    </row>
    <row r="37">
      <c r="A37" t="inlineStr">
        <is>
          <t>32avos — Llave (3 pts c/u)</t>
        </is>
      </c>
      <c r="C37" s="12">
        <f>SUM(I2:I17)</f>
        <v/>
      </c>
    </row>
    <row r="38">
      <c r="A38" t="inlineStr">
        <is>
          <t>Octavos — Equipo (2 pts c/u)</t>
        </is>
      </c>
      <c r="C38" s="12">
        <f>(MIN(COUNTIF(C18:D25,F18),1)+MIN(COUNTIF(C18:D25,F19),1)+MIN(COUNTIF(C18:D25,F20),1)+MIN(COUNTIF(C18:D25,F21),1)+MIN(COUNTIF(C18:D25,F22),1)+MIN(COUNTIF(C18:D25,F23),1)+MIN(COUNTIF(C18:D25,F24),1)+MIN(COUNTIF(C18:D25,F25),1)+MIN(COUNTIF(C18:D25,G18),1)+MIN(COUNTIF(C18:D25,G19),1)+MIN(COUNTIF(C18:D25,G20),1)+MIN(COUNTIF(C18:D25,G21),1)+MIN(COUNTIF(C18:D25,G22),1)+MIN(COUNTIF(C18:D25,G23),1)+MIN(COUNTIF(C18:D25,G24),1)+MIN(COUNTIF(C18:D25,G25),1))*2</f>
        <v/>
      </c>
    </row>
    <row r="39">
      <c r="A39" t="inlineStr">
        <is>
          <t>Octavos — Llave (4 pts c/u)</t>
        </is>
      </c>
      <c r="C39" s="12">
        <f>SUM(I18:I25)</f>
        <v/>
      </c>
    </row>
    <row r="40">
      <c r="A40" t="inlineStr">
        <is>
          <t>Cuartos — Equipo (4 pts c/u)</t>
        </is>
      </c>
      <c r="C40" s="12">
        <f>(MIN(COUNTIF(C26:D29,F26),1)+MIN(COUNTIF(C26:D29,F27),1)+MIN(COUNTIF(C26:D29,F28),1)+MIN(COUNTIF(C26:D29,F29),1)+MIN(COUNTIF(C26:D29,G26),1)+MIN(COUNTIF(C26:D29,G27),1)+MIN(COUNTIF(C26:D29,G28),1)+MIN(COUNTIF(C26:D29,G29),1))*4</f>
        <v/>
      </c>
    </row>
    <row r="41">
      <c r="A41" t="inlineStr">
        <is>
          <t>Cuartos — Llave (8 pts c/u)</t>
        </is>
      </c>
      <c r="C41" s="12">
        <f>SUM(I26:I29)</f>
        <v/>
      </c>
    </row>
    <row r="42">
      <c r="A42" t="inlineStr">
        <is>
          <t>Semifinal — Equipo (4 pts c/u)</t>
        </is>
      </c>
      <c r="C42" s="12">
        <f>(MIN(COUNTIF(C30:D31,F30),1)+MIN(COUNTIF(C30:D31,F31),1)+MIN(COUNTIF(C30:D31,G30),1)+MIN(COUNTIF(C30:D31,G31),1))*4</f>
        <v/>
      </c>
    </row>
    <row r="43">
      <c r="A43" t="inlineStr">
        <is>
          <t>Semifinal — Llave (8 pts c/u)</t>
        </is>
      </c>
      <c r="C43" s="12">
        <f>SUM(I30:I31)</f>
        <v/>
      </c>
    </row>
    <row r="44">
      <c r="A44" t="inlineStr">
        <is>
          <t>Final/3er — Equipo (8 pts c/u)</t>
        </is>
      </c>
      <c r="C44" s="12">
        <f>(MIN(COUNTIF(C33:D33,F33),1)+MIN(COUNTIF(C33:D33,G33),1))*8+(MIN(COUNTIF(C32:D32,F32),1)+MIN(COUNTIF(C32:D32,G32),1))*8</f>
        <v/>
      </c>
    </row>
    <row r="45">
      <c r="A45" t="inlineStr">
        <is>
          <t>3er puesto — Llave (8 pts)</t>
        </is>
      </c>
      <c r="C45" s="12">
        <f>I32</f>
        <v/>
      </c>
    </row>
    <row r="46">
      <c r="A46" t="inlineStr">
        <is>
          <t>Final — Llave (12 pts)</t>
        </is>
      </c>
      <c r="C46" s="12">
        <f>I33</f>
        <v/>
      </c>
    </row>
    <row r="47">
      <c r="A47" t="inlineStr">
        <is>
          <t>Bonus Campeon (15 pts)</t>
        </is>
      </c>
      <c r="C47" s="12">
        <f>IF(AND(E33&lt;&gt;"",H33&lt;&gt;"",E33=H33),15,0)</f>
        <v/>
      </c>
    </row>
    <row r="48">
      <c r="A48" t="inlineStr">
        <is>
          <t>Bonus Subcampeon (10 pts)</t>
        </is>
      </c>
      <c r="C48" s="12">
        <f>IF(AND(C33&lt;&gt;"",D33&lt;&gt;"",F33&lt;&gt;"",G33&lt;&gt;"",E33&lt;&gt;"",H33&lt;&gt;""),IF(IF(E33=C33,D33,C33)=IF(H33=F33,G33,F33),10,0),0)</f>
        <v/>
      </c>
    </row>
    <row r="49">
      <c r="A49" t="inlineStr">
        <is>
          <t>Bonus 3er puesto (8 pts)</t>
        </is>
      </c>
      <c r="C49" s="12">
        <f>IF(AND(E32&lt;&gt;"",H32&lt;&gt;"",E32=H32),8,0)</f>
        <v/>
      </c>
    </row>
    <row r="50">
      <c r="A50" t="inlineStr">
        <is>
          <t>Bonus 4to puesto (6 pts)</t>
        </is>
      </c>
      <c r="C50" s="12">
        <f>IF(AND(C32&lt;&gt;"",D32&lt;&gt;"",F32&lt;&gt;"",G32&lt;&gt;"",E32&lt;&gt;"",H32&lt;&gt;""),IF(IF(E32=C32,D32,C32)=IF(H32=F32,G32,F32),6,0),0)</f>
        <v/>
      </c>
    </row>
    <row r="51"/>
    <row r="52">
      <c r="A52" s="11" t="inlineStr">
        <is>
          <t>TOTAL BRACKET (equipo+llave+bonus)</t>
        </is>
      </c>
      <c r="C52" s="9">
        <f>C37+C38+C39+C40+C41+C42+C43+C44+C45+C46+C47+C48+C49+C50</f>
        <v/>
      </c>
    </row>
  </sheetData>
  <dataValidations count="2">
    <dataValidation sqref="C2:C33 D2:D33 F2:F33 G2:G33" showDropDown="0" showInputMessage="0" showErrorMessage="0" allowBlank="1" type="list">
      <formula1>=Equipos!$B$2:$B$49</formula1>
    </dataValidation>
    <dataValidation sqref="E2:E33 H2:H33" showDropDown="0" showInputMessage="0" showErrorMessage="0" allowBlank="1" type="list">
      <formula1>=Equipos!$B$2:$B$49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6" customWidth="1" min="1" max="1"/>
    <col width="17" customWidth="1" min="2" max="2"/>
    <col width="17" customWidth="1" min="3" max="3"/>
    <col width="17" customWidth="1" min="4" max="4"/>
    <col width="30" customWidth="1" min="5" max="5"/>
  </cols>
  <sheetData>
    <row r="1">
      <c r="A1" s="5" t="inlineStr">
        <is>
          <t>Pron. Goleador</t>
        </is>
      </c>
      <c r="B1" s="5" t="inlineStr">
        <is>
          <t>Real Goleador 1</t>
        </is>
      </c>
      <c r="C1" s="5" t="inlineStr">
        <is>
          <t>Real Goleador 2</t>
        </is>
      </c>
      <c r="D1" s="5" t="inlineStr">
        <is>
          <t>Real Goleador 3</t>
        </is>
      </c>
      <c r="E1" s="5" t="inlineStr">
        <is>
          <t>Puntos</t>
        </is>
      </c>
    </row>
    <row r="2">
      <c r="A2" s="7" t="n"/>
      <c r="B2" s="7" t="n"/>
      <c r="C2" s="7" t="n"/>
      <c r="D2" s="7" t="n"/>
      <c r="E2" s="8">
        <f>IF(TRIM(A2)="",0,IF(OR(EXACT(UPPER(TRIM(A2)),UPPER(TRIM(B2))),EXACT(UPPER(TRIM(A2)),UPPER(TRIM(C2))),EXACT(UPPER(TRIM(A2)),UPPER(TRIM(D2)))),10,0))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48" customWidth="1" min="1" max="1"/>
    <col width="55" customWidth="1" min="2" max="2"/>
  </cols>
  <sheetData>
    <row r="1">
      <c r="A1" s="5" t="inlineStr">
        <is>
          <t>Fase</t>
        </is>
      </c>
      <c r="B1" s="5" t="inlineStr">
        <is>
          <t>Puntos</t>
        </is>
      </c>
    </row>
    <row r="2">
      <c r="A2" s="6" t="inlineStr">
        <is>
          <t>Grupos — marcador (exacto + resultado)</t>
        </is>
      </c>
      <c r="B2" s="8">
        <f>Grupos!I74</f>
        <v/>
      </c>
    </row>
    <row r="3">
      <c r="A3" s="6" t="inlineStr">
        <is>
          <t>Grupos — posicion exacta en tabla</t>
        </is>
      </c>
      <c r="B3" s="8">
        <f>'Tabla Grupos'!Z51</f>
        <v/>
      </c>
    </row>
    <row r="4">
      <c r="A4" s="6" t="inlineStr">
        <is>
          <t>32avos — clasificado a dieciseisavos</t>
        </is>
      </c>
      <c r="B4" s="8">
        <f>'Tabla Grupos'!C116</f>
        <v/>
      </c>
    </row>
    <row r="5">
      <c r="A5" s="6" t="inlineStr">
        <is>
          <t>32avos — llave del bracket</t>
        </is>
      </c>
      <c r="B5" s="8">
        <f>'Bracket'!C37</f>
        <v/>
      </c>
    </row>
    <row r="6">
      <c r="A6" s="6" t="inlineStr">
        <is>
          <t>16avos (Octavos) — equipo + llave</t>
        </is>
      </c>
      <c r="B6" s="8">
        <f>'Bracket'!C38+'Bracket'!C39</f>
        <v/>
      </c>
    </row>
    <row r="7">
      <c r="A7" s="6" t="inlineStr">
        <is>
          <t>Cuartos — equipo + llave</t>
        </is>
      </c>
      <c r="B7" s="8">
        <f>'Bracket'!C40+'Bracket'!C41</f>
        <v/>
      </c>
    </row>
    <row r="8">
      <c r="A8" s="6" t="inlineStr">
        <is>
          <t>Semifinal — equipo + llave</t>
        </is>
      </c>
      <c r="B8" s="8">
        <f>'Bracket'!C42+'Bracket'!C43</f>
        <v/>
      </c>
    </row>
    <row r="9">
      <c r="A9" s="6" t="inlineStr">
        <is>
          <t>Final / 3er puesto — equipo + llaves + bonus</t>
        </is>
      </c>
      <c r="B9" s="8">
        <f>'Bracket'!C44+'Bracket'!C45+'Bracket'!C46+'Bracket'!C47+'Bracket'!C48+'Bracket'!C49+'Bracket'!C50</f>
        <v/>
      </c>
    </row>
    <row r="10">
      <c r="A10" s="6" t="inlineStr">
        <is>
          <t>Goleador</t>
        </is>
      </c>
      <c r="B10" s="8">
        <f>Goleador!E2</f>
        <v/>
      </c>
    </row>
    <row r="11">
      <c r="A11" s="13" t="inlineStr">
        <is>
          <t>TOTAL</t>
        </is>
      </c>
      <c r="B11" s="13">
        <f>SUM(B2:B10)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2026-07-21T15:47:31Z</dcterms:created>
  <dcterms:modified xmlns:dcterms="http://purl.org/dc/terms/" xmlns:xsi="http://www.w3.org/2001/XMLSchema-instance" xsi:type="dcterms:W3CDTF">2026-07-21T15:47:32Z</dcterms:modified>
</cp:coreProperties>
</file>